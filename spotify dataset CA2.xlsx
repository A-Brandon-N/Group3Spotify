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udublin-my.sharepoint.com/personal/a00020186_mytudublin_ie/Documents/"/>
    </mc:Choice>
  </mc:AlternateContent>
  <xr:revisionPtr revIDLastSave="0" documentId="8_{E20AD8E6-1F79-4E22-B171-CC3394FD5675}" xr6:coauthVersionLast="47" xr6:coauthVersionMax="47" xr10:uidLastSave="{00000000-0000-0000-0000-000000000000}"/>
  <bookViews>
    <workbookView xWindow="-110" yWindow="-110" windowWidth="19420" windowHeight="11020" xr2:uid="{DF69F074-FDD4-45B1-95FF-40935F1BC590}"/>
  </bookViews>
  <sheets>
    <sheet name="in" sheetId="1" r:id="rId1"/>
    <sheet name="Sheet1" sheetId="2" r:id="rId2"/>
  </sheets>
  <definedNames>
    <definedName name="_xlchart.v1.0" hidden="1">in!I2:I955</definedName>
  </definedNames>
  <calcPr calcId="191028"/>
  <pivotCaches>
    <pivotCache cacheId="414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AC3" i="1"/>
  <c r="AE8" i="1"/>
  <c r="AE7" i="1"/>
  <c r="AE6" i="1"/>
  <c r="AE5" i="1"/>
  <c r="AE4" i="1"/>
  <c r="AE3" i="1"/>
  <c r="AD8" i="1"/>
  <c r="AD7" i="1"/>
  <c r="AD6" i="1"/>
  <c r="AD4" i="1"/>
  <c r="AD5" i="1"/>
  <c r="AD3" i="1"/>
  <c r="AC8" i="1"/>
  <c r="AC7" i="1"/>
  <c r="AC6" i="1"/>
  <c r="AC5" i="1"/>
  <c r="AC4" i="1"/>
  <c r="AB8" i="1"/>
  <c r="AB7" i="1"/>
  <c r="AB6" i="1"/>
  <c r="AB5" i="1"/>
  <c r="AB4" i="1"/>
  <c r="AB3" i="1"/>
  <c r="AA8" i="1"/>
  <c r="AA7" i="1"/>
  <c r="AA6" i="1"/>
  <c r="AA4" i="1"/>
  <c r="AA5" i="1"/>
  <c r="AA3" i="1"/>
  <c r="Z8" i="1"/>
  <c r="Z7" i="1"/>
  <c r="Z6" i="1"/>
  <c r="Z5" i="1"/>
  <c r="Z4" i="1"/>
  <c r="Z9" i="1" l="1"/>
  <c r="AA9" i="1"/>
  <c r="AB9" i="1"/>
  <c r="AC9" i="1"/>
  <c r="AD9" i="1"/>
  <c r="AE9" i="1"/>
</calcChain>
</file>

<file path=xl/sharedStrings.xml><?xml version="1.0" encoding="utf-8"?>
<sst xmlns="http://schemas.openxmlformats.org/spreadsheetml/2006/main" count="1943" uniqueCount="1618">
  <si>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</si>
  <si>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</si>
  <si>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</si>
  <si>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</si>
  <si>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</si>
  <si>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</si>
  <si>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</si>
  <si>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</si>
  <si>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</si>
  <si>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</si>
  <si>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</si>
  <si>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bpm</t>
  </si>
  <si>
    <t>danceability_perc</t>
  </si>
  <si>
    <t>energy_perc</t>
  </si>
  <si>
    <t>Average of energy_%</t>
  </si>
  <si>
    <t>Column1</t>
  </si>
  <si>
    <t>Column2</t>
  </si>
  <si>
    <t>Column3</t>
  </si>
  <si>
    <t>Column4</t>
  </si>
  <si>
    <t>Column5</t>
  </si>
  <si>
    <t>Column6</t>
  </si>
  <si>
    <t>Column7</t>
  </si>
  <si>
    <t>Average of streams</t>
  </si>
  <si>
    <t>Seven (feat. Latto) (Explicit Ver.)</t>
  </si>
  <si>
    <t>Latto, Jung Kook</t>
  </si>
  <si>
    <t>Stats</t>
  </si>
  <si>
    <t>Streams</t>
  </si>
  <si>
    <t>BPM</t>
  </si>
  <si>
    <t>Apple Charts</t>
  </si>
  <si>
    <t>Apple Playlists</t>
  </si>
  <si>
    <t>Spotify Playlists</t>
  </si>
  <si>
    <t>Spotify Charts</t>
  </si>
  <si>
    <t>LALA</t>
  </si>
  <si>
    <t>Myke Towers</t>
  </si>
  <si>
    <t>Mean</t>
  </si>
  <si>
    <t>vampire</t>
  </si>
  <si>
    <t>Olivia Rodrigo</t>
  </si>
  <si>
    <t>Mode</t>
  </si>
  <si>
    <t>Cruel Summer</t>
  </si>
  <si>
    <t>Taylor Swift</t>
  </si>
  <si>
    <t>Median</t>
  </si>
  <si>
    <t>WHERE SHE GOES</t>
  </si>
  <si>
    <t>Bad Bunny</t>
  </si>
  <si>
    <t>Min</t>
  </si>
  <si>
    <t>Sprinter</t>
  </si>
  <si>
    <t>Dave, Central Cee</t>
  </si>
  <si>
    <t>Max</t>
  </si>
  <si>
    <t>Ella Baila Sola</t>
  </si>
  <si>
    <t>Eslabon Armado, Peso Pluma</t>
  </si>
  <si>
    <t>STD.Deviation</t>
  </si>
  <si>
    <t>Columbia</t>
  </si>
  <si>
    <t>Quevedo</t>
  </si>
  <si>
    <t>Range</t>
  </si>
  <si>
    <t>fukumean</t>
  </si>
  <si>
    <t>Gunna</t>
  </si>
  <si>
    <t>La Bebe - Remix</t>
  </si>
  <si>
    <t>Peso Pluma, Yng Lvcas</t>
  </si>
  <si>
    <t>un x100to</t>
  </si>
  <si>
    <t>Bad Bunny, Grupo Frontera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</si>
  <si>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</si>
  <si>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</si>
  <si>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</si>
  <si>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</si>
  <si>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</si>
  <si>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</si>
  <si>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</si>
  <si>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</si>
  <si>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</si>
  <si>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</si>
  <si>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</si>
  <si>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</si>
  <si>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</si>
  <si>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</si>
  <si>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</si>
  <si>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</si>
  <si>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</si>
  <si>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</si>
  <si>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LADY GAGA</t>
  </si>
  <si>
    <t>Gabito Ballesteros, Junior H, Peso Pluma</t>
  </si>
  <si>
    <t xml:space="preserve">I Can See You (Taylor's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</si>
  <si>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</si>
  <si>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</si>
  <si>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</si>
  <si>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</si>
  <si>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</si>
  <si>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</si>
  <si>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</si>
  <si>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</si>
  <si>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</si>
  <si>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 xml:space="preserve"> Rema,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</si>
  <si>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</si>
  <si>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</si>
  <si>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</si>
  <si>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</si>
  <si>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</si>
  <si>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</si>
  <si>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</si>
  <si>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</si>
  <si>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</si>
  <si>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</si>
  <si>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</si>
  <si>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</si>
  <si>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</si>
  <si>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TQG</t>
  </si>
  <si>
    <t>Karol G, Shakira</t>
  </si>
  <si>
    <t>Los del Espacio</t>
  </si>
  <si>
    <t>Big One, Duki, Lit Killah, Maria Becerra, FMK, Rusherking, Emilia, Tiago pzk</t>
  </si>
  <si>
    <t>Frágil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</si>
  <si>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</si>
  <si>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</si>
  <si>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</si>
  <si>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</si>
  <si>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</si>
  <si>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</si>
  <si>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</si>
  <si>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</si>
  <si>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</si>
  <si>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</si>
  <si>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</si>
  <si>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</si>
  <si>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</si>
  <si>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</si>
  <si>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</si>
  <si>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</si>
  <si>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</si>
  <si>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</si>
  <si>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</si>
  <si>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</si>
  <si>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</si>
  <si>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</si>
  <si>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</si>
  <si>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</si>
  <si>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</si>
  <si>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(blank)</t>
  </si>
  <si>
    <t>Baby Don't Hurt Me</t>
  </si>
  <si>
    <t>David Guetta, Anne-Marie, Coi Leray</t>
  </si>
  <si>
    <t>Grand Total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</si>
  <si>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</si>
  <si>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</si>
  <si>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</si>
  <si>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</si>
  <si>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</si>
  <si>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</si>
  <si>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</si>
  <si>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</si>
  <si>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</si>
  <si>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</si>
  <si>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</si>
  <si>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</si>
  <si>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</si>
  <si>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TáOK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</si>
  <si>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</si>
  <si>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</si>
  <si>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</si>
  <si>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</si>
  <si>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</si>
  <si>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</si>
  <si>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 ROSALÍA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</si>
  <si>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</si>
  <si>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</si>
  <si>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</si>
  <si>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</si>
  <si>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</si>
  <si>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</si>
  <si>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</si>
  <si>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</si>
  <si>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</si>
  <si>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</si>
  <si>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</si>
  <si>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</si>
  <si>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</si>
  <si>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</si>
  <si>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</si>
  <si>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</si>
  <si>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</si>
  <si>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</si>
  <si>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</si>
  <si>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</si>
  <si>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</si>
  <si>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</si>
  <si>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</si>
  <si>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</si>
  <si>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</si>
  <si>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</si>
  <si>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</si>
  <si>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</si>
  <si>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 xml:space="preserve"> CORAZÓN VACÍO</t>
  </si>
  <si>
    <t>Maria Becerra</t>
  </si>
  <si>
    <t>Riptide</t>
  </si>
  <si>
    <t>Vance Joy</t>
  </si>
  <si>
    <t>Until I Found You (with Em Beihold) - Em Beihold Version</t>
  </si>
  <si>
    <t>Em Beihold, Stephen Sanchez</t>
  </si>
  <si>
    <t xml:space="preserve"> Novidade na Área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</si>
  <si>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</si>
  <si>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</si>
  <si>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</si>
  <si>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</si>
  <si>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</si>
  <si>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</si>
  <si>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</si>
  <si>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</si>
  <si>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</si>
  <si>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</si>
  <si>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</si>
  <si>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</si>
  <si>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</si>
  <si>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</si>
  <si>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</si>
  <si>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</si>
  <si>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</si>
  <si>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</si>
  <si>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</si>
  <si>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</si>
  <si>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Don't Bl</t>
  </si>
  <si>
    <t>Still With You</t>
  </si>
  <si>
    <t>Jung Kook</t>
  </si>
  <si>
    <t>All My Life (feat. J. Cole)</t>
  </si>
  <si>
    <t>J. Cole, Lil Durk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</si>
  <si>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</si>
  <si>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</si>
  <si>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</si>
  <si>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</si>
  <si>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</si>
  <si>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</si>
  <si>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</si>
  <si>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</si>
  <si>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</si>
  <si>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</si>
  <si>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</si>
  <si>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</si>
  <si>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</si>
  <si>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</si>
  <si>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</si>
  <si>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</si>
  <si>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</si>
  <si>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</si>
  <si>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</si>
  <si>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</si>
  <si>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</si>
  <si>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</si>
  <si>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</si>
  <si>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</si>
  <si>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</si>
  <si>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</si>
  <si>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</si>
  <si>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</si>
  <si>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Nuñez,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</si>
  <si>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</si>
  <si>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</si>
  <si>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</si>
  <si>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</si>
  <si>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</si>
  <si>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</si>
  <si>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</si>
  <si>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</si>
  <si>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</si>
  <si>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</si>
  <si>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</si>
  <si>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</si>
  <si>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</si>
  <si>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</si>
  <si>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</si>
  <si>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</si>
  <si>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</si>
  <si>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</si>
  <si>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</si>
  <si>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</si>
  <si>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</si>
  <si>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Cumpleaéos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</si>
  <si>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</si>
  <si>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</si>
  <si>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</si>
  <si>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</si>
  <si>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</si>
  <si>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</si>
  <si>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</si>
  <si>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</si>
  <si>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</si>
  <si>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</si>
  <si>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</si>
  <si>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</si>
  <si>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</si>
  <si>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</si>
  <si>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</si>
  <si>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</si>
  <si>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</si>
  <si>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</si>
  <si>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</si>
  <si>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</si>
  <si>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</si>
  <si>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</si>
  <si>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</si>
  <si>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Balanço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</si>
  <si>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</si>
  <si>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</si>
  <si>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</si>
  <si>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</si>
  <si>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</si>
  <si>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</si>
  <si>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</si>
  <si>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</si>
  <si>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</si>
  <si>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BombaEstéreo,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</si>
  <si>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</si>
  <si>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</si>
  <si>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</si>
  <si>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</si>
  <si>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</si>
  <si>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</si>
  <si>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</si>
  <si>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</si>
  <si>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</si>
  <si>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</si>
  <si>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</si>
  <si>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</si>
  <si>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</si>
  <si>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</si>
  <si>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</si>
  <si>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</si>
  <si>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</si>
  <si>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</si>
  <si>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</si>
  <si>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</si>
  <si>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</si>
  <si>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</si>
  <si>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</si>
  <si>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</si>
  <si>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</si>
  <si>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</si>
  <si>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</si>
  <si>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</si>
  <si>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</si>
  <si>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</si>
  <si>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</si>
  <si>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</si>
  <si>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</si>
  <si>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</si>
  <si>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</si>
  <si>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</si>
  <si>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</si>
  <si>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</si>
  <si>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</si>
  <si>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</si>
  <si>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</si>
  <si>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</si>
  <si>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</si>
  <si>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</si>
  <si>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</si>
  <si>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</si>
  <si>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</si>
  <si>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</si>
  <si>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</si>
  <si>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</si>
  <si>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</si>
  <si>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</si>
  <si>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</si>
  <si>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</si>
  <si>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</si>
  <si>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</si>
  <si>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</si>
  <si>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</si>
  <si>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</si>
  <si>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</si>
  <si>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</si>
  <si>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</si>
  <si>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</si>
  <si>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</si>
  <si>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</si>
  <si>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</si>
  <si>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</si>
  <si>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</si>
  <si>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</si>
  <si>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</si>
  <si>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</si>
  <si>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</si>
  <si>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</si>
  <si>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</si>
  <si>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</si>
  <si>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(Taylor's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</si>
  <si>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</si>
  <si>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</si>
  <si>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</si>
  <si>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</si>
  <si>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</si>
  <si>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</si>
  <si>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</si>
  <si>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</si>
  <si>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</si>
  <si>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</si>
  <si>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</si>
  <si>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</si>
  <si>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</si>
  <si>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</si>
  <si>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</si>
  <si>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</si>
  <si>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</si>
  <si>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Acróstico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</si>
  <si>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</si>
  <si>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</si>
  <si>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</si>
  <si>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</si>
  <si>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</si>
  <si>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</si>
  <si>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</si>
  <si>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</si>
  <si>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</si>
  <si>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</si>
  <si>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</si>
  <si>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</si>
  <si>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</si>
  <si>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</si>
  <si>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</si>
  <si>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 xml:space="preserve">Junior H, Eden Muñoz </t>
  </si>
  <si>
    <t>Obsessed</t>
  </si>
  <si>
    <t>Abhijay Sharma, Riar Saab</t>
  </si>
  <si>
    <t>PİŞMAN DEĞİLİM</t>
  </si>
  <si>
    <t>Doğu Swag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</si>
  <si>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</si>
  <si>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</si>
  <si>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</si>
  <si>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</si>
  <si>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</si>
  <si>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</si>
  <si>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</si>
  <si>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</si>
  <si>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</si>
  <si>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</si>
  <si>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</si>
  <si>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</si>
  <si>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</si>
  <si>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</si>
  <si>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</si>
  <si>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</si>
  <si>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</si>
  <si>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</si>
  <si>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</si>
  <si>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</si>
  <si>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</si>
  <si>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</si>
  <si>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</si>
  <si>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</si>
  <si>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</si>
  <si>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</si>
  <si>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</si>
  <si>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</si>
  <si>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</si>
  <si>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</si>
  <si>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</si>
  <si>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</si>
  <si>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</si>
  <si>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</si>
  <si>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 xml:space="preserve"> Beyoncé</t>
  </si>
  <si>
    <t>Lilith (feat. SUGA of BTS) (Diablo IV Anthem)</t>
  </si>
  <si>
    <t>Halsey, Suga</t>
  </si>
  <si>
    <t>Nicky Jam, Feid</t>
  </si>
  <si>
    <t>Niéa Bo</t>
  </si>
  <si>
    <t>Sean Paul, Feid</t>
  </si>
  <si>
    <t>Search &amp; Rescue</t>
  </si>
  <si>
    <t>Drake</t>
  </si>
  <si>
    <t>AMERICA HAS A PROBLEM (feat. Kendrick Lamar)</t>
  </si>
  <si>
    <t>Kendrick Lamar,  Beyoncé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</si>
  <si>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</si>
  <si>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</si>
  <si>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</si>
  <si>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</si>
  <si>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</si>
  <si>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</si>
  <si>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</si>
  <si>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</si>
  <si>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</si>
  <si>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</si>
  <si>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</si>
  <si>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</si>
  <si>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</si>
  <si>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</si>
  <si>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</si>
  <si>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</si>
  <si>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CarTáOK½o B</t>
  </si>
  <si>
    <t>MC Caverinha, KayBlack</t>
  </si>
  <si>
    <t>Danger (Spider) (Offset &amp; JID)</t>
  </si>
  <si>
    <t>Offset, JID</t>
  </si>
  <si>
    <t>Oi Balde - Ao Vivo</t>
  </si>
  <si>
    <t>Zé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</si>
  <si>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</si>
  <si>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</si>
  <si>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</si>
  <si>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</si>
  <si>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</si>
  <si>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</si>
  <si>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</si>
  <si>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</si>
  <si>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</si>
  <si>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</si>
  <si>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</si>
  <si>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</si>
  <si>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</si>
  <si>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</si>
  <si>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Conexées de Méfia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</si>
  <si>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</si>
  <si>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</si>
  <si>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</si>
  <si>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</si>
  <si>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</si>
  <si>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</si>
  <si>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</si>
  <si>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</si>
  <si>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</si>
  <si>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</si>
  <si>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</si>
  <si>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' Twin Ver. (FIFTY FIFTY) '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</si>
  <si>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</si>
  <si>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</si>
  <si>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</si>
  <si>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</si>
  <si>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</si>
  <si>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</si>
  <si>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</si>
  <si>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</si>
  <si>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</si>
  <si>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</si>
  <si>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</si>
  <si>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</si>
  <si>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</si>
  <si>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</si>
  <si>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</si>
  <si>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</si>
  <si>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</si>
  <si>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</si>
  <si>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</si>
  <si>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</si>
  <si>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</si>
  <si>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</si>
  <si>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</si>
  <si>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 xml:space="preserve"> ROSALÍA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</si>
  <si>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</si>
  <si>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</si>
  <si>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</si>
  <si>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</si>
  <si>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</si>
  <si>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</si>
  <si>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</si>
  <si>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</si>
  <si>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</si>
  <si>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</si>
  <si>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</si>
  <si>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</si>
  <si>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</si>
  <si>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</si>
  <si>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</si>
  <si>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</si>
  <si>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</si>
  <si>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</si>
  <si>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</si>
  <si>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</si>
  <si>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</si>
  <si>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</si>
  <si>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</si>
  <si>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</si>
  <si>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</si>
  <si>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</si>
  <si>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</si>
  <si>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</si>
  <si>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</si>
  <si>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</si>
  <si>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</si>
  <si>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</si>
  <si>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</si>
  <si>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</si>
  <si>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</si>
  <si>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</si>
  <si>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Arcéngel: Bzrp Music Sessions, Vol</t>
  </si>
  <si>
    <t>Arcangel, Bizarrap</t>
  </si>
  <si>
    <t>DOGTOOTH</t>
  </si>
  <si>
    <t>Tyler, The Creator</t>
  </si>
  <si>
    <t>Tiésto,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</si>
  <si>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</si>
  <si>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</si>
  <si>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</si>
  <si>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</si>
  <si>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</si>
  <si>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</si>
  <si>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</si>
  <si>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</si>
  <si>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Leão</t>
  </si>
  <si>
    <t>Marélia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</si>
  <si>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</si>
  <si>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</si>
  <si>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</si>
  <si>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</si>
  <si>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</si>
  <si>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</si>
  <si>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</si>
  <si>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</si>
  <si>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</si>
  <si>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</si>
  <si>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</si>
  <si>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</si>
  <si>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</si>
  <si>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</si>
  <si>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</si>
  <si>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</si>
  <si>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</si>
  <si>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</si>
  <si>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</si>
  <si>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</si>
  <si>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</si>
  <si>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</si>
  <si>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</si>
  <si>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</si>
  <si>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</si>
  <si>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</si>
  <si>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</si>
  <si>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</si>
  <si>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</si>
  <si>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</si>
  <si>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</si>
  <si>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</si>
  <si>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</si>
  <si>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</si>
  <si>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</si>
  <si>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</si>
  <si>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</si>
  <si>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</si>
  <si>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</si>
  <si>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</si>
  <si>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</si>
  <si>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</si>
  <si>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</si>
  <si>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</si>
  <si>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Ain't Tha</t>
  </si>
  <si>
    <t>Thinkin'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</si>
  <si>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</si>
  <si>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</si>
  <si>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</si>
  <si>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</si>
  <si>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</si>
  <si>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</si>
  <si>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</si>
  <si>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</si>
  <si>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</si>
  <si>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</si>
  <si>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</si>
  <si>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</si>
  <si>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</si>
  <si>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</si>
  <si>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</si>
  <si>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</si>
  <si>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</si>
  <si>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</si>
  <si>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</si>
  <si>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</si>
  <si>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</si>
  <si>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</si>
  <si>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</si>
  <si>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</si>
  <si>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</si>
  <si>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</si>
  <si>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</si>
  <si>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</si>
  <si>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</si>
  <si>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</si>
  <si>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</si>
  <si>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</si>
  <si>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</si>
  <si>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</si>
  <si>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</si>
  <si>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</si>
  <si>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</si>
  <si>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</si>
  <si>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</si>
  <si>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</si>
  <si>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</si>
  <si>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</si>
  <si>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Alianéa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</si>
  <si>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</si>
  <si>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</si>
  <si>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</si>
  <si>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</si>
  <si>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</si>
  <si>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</si>
  <si>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</si>
  <si>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</si>
  <si>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</si>
  <si>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Qué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</si>
  <si>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</si>
  <si>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</si>
  <si>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</si>
  <si>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</si>
  <si>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</si>
  <si>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</si>
  <si>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</si>
  <si>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ýýýýýýýýýýýýýýýýýýýýý</t>
  </si>
  <si>
    <t>Fujii Kaze</t>
  </si>
  <si>
    <t>Besos Moja2</t>
  </si>
  <si>
    <t>Wisin &amp; Yandel,  ROSALÍA</t>
  </si>
  <si>
    <t>Maan Meri Jaan</t>
  </si>
  <si>
    <t>King</t>
  </si>
  <si>
    <t>Moscow Mule</t>
  </si>
  <si>
    <t>My Universe</t>
  </si>
  <si>
    <t>Coldplay, BTS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</si>
  <si>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</si>
  <si>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</si>
  <si>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</si>
  <si>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</si>
  <si>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</si>
  <si>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</si>
  <si>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</si>
  <si>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</si>
  <si>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</si>
  <si>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</si>
  <si>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</si>
  <si>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</si>
  <si>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</si>
  <si>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</si>
  <si>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</si>
  <si>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</si>
  <si>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</si>
  <si>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</si>
  <si>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</si>
  <si>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</si>
  <si>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</si>
  <si>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</si>
  <si>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</si>
  <si>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</si>
  <si>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</si>
  <si>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</si>
  <si>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</si>
  <si>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</si>
  <si>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</si>
  <si>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</si>
  <si>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</si>
  <si>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</si>
  <si>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</si>
  <si>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Muñoz 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</si>
  <si>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</si>
  <si>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</si>
  <si>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</si>
  <si>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</si>
  <si>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</si>
  <si>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</si>
  <si>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</si>
  <si>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</si>
  <si>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</si>
  <si>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</si>
  <si>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</si>
  <si>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</si>
  <si>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</si>
  <si>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</si>
  <si>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</si>
  <si>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</si>
  <si>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</si>
  <si>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</si>
  <si>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</si>
  <si>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</si>
  <si>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</si>
  <si>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</si>
  <si>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</si>
  <si>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</si>
  <si>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</si>
  <si>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</si>
  <si>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</si>
  <si>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</si>
  <si>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</si>
  <si>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</si>
  <si>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</si>
  <si>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</si>
  <si>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</si>
  <si>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</si>
  <si>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</si>
  <si>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</si>
  <si>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</si>
  <si>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</si>
  <si>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</si>
  <si>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</si>
  <si>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</si>
  <si>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</si>
  <si>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</si>
  <si>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</si>
  <si>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</si>
  <si>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</si>
  <si>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</si>
  <si>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</si>
  <si>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</si>
  <si>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</si>
  <si>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</si>
  <si>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</si>
  <si>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</si>
  <si>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</si>
  <si>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</si>
  <si>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Didn't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</si>
  <si>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</si>
  <si>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</si>
  <si>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</si>
  <si>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</si>
  <si>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</si>
  <si>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</si>
  <si>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</si>
  <si>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</si>
  <si>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</si>
  <si>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</si>
  <si>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</si>
  <si>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</si>
  <si>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Mégi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</si>
  <si>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</si>
  <si>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</si>
  <si>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</si>
  <si>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</si>
  <si>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</si>
  <si>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</si>
  <si>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</si>
  <si>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</si>
  <si>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</si>
  <si>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</si>
  <si>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</si>
  <si>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</si>
  <si>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</si>
  <si>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</si>
  <si>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</si>
  <si>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</si>
  <si>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</si>
  <si>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</si>
  <si>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</si>
  <si>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</si>
  <si>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</si>
  <si>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</si>
  <si>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</si>
  <si>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José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</si>
  <si>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</si>
  <si>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</si>
  <si>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</si>
  <si>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</si>
  <si>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</si>
  <si>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</si>
  <si>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</si>
  <si>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</si>
  <si>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</si>
  <si>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</si>
  <si>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</si>
  <si>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</si>
  <si>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</si>
  <si>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</si>
  <si>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</si>
  <si>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</si>
  <si>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</si>
  <si>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</si>
  <si>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</si>
  <si>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</si>
  <si>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</si>
  <si>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</si>
  <si>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</si>
  <si>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</si>
  <si>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</si>
  <si>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</si>
  <si>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</si>
  <si>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</si>
  <si>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</si>
  <si>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</si>
  <si>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</si>
  <si>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</si>
  <si>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</si>
  <si>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</si>
  <si>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</si>
  <si>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</si>
  <si>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</si>
  <si>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</si>
  <si>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</si>
  <si>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</si>
  <si>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</si>
  <si>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</si>
  <si>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</si>
  <si>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</si>
  <si>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</si>
  <si>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</si>
  <si>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</si>
  <si>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</si>
  <si>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</si>
  <si>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</si>
  <si>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</si>
  <si>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</si>
  <si>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</si>
  <si>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</si>
  <si>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</si>
  <si>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Tubaréo Te</t>
  </si>
  <si>
    <t>Dj LK da Escécia,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</si>
  <si>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</si>
  <si>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</si>
  <si>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</si>
  <si>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</si>
  <si>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</si>
  <si>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</si>
  <si>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</si>
  <si>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</si>
  <si>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</si>
  <si>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</si>
  <si>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</si>
  <si>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</si>
  <si>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</si>
  <si>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</si>
  <si>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</si>
  <si>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</si>
  <si>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</si>
  <si>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GATáOK½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</si>
  <si>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</si>
  <si>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</si>
  <si>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</si>
  <si>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</si>
  <si>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</si>
  <si>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</si>
  <si>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</si>
  <si>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</si>
  <si>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</si>
  <si>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</si>
  <si>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</si>
  <si>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</si>
  <si>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</si>
  <si>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</si>
  <si>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</si>
  <si>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</si>
  <si>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</si>
  <si>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</si>
  <si>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</si>
  <si>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</si>
  <si>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</si>
  <si>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Go'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</si>
  <si>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</si>
  <si>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</si>
  <si>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</si>
  <si>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</si>
  <si>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</si>
  <si>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</si>
  <si>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</si>
  <si>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</si>
  <si>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</si>
  <si>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</si>
  <si>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</si>
  <si>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</si>
  <si>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</si>
  <si>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</si>
  <si>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</si>
  <si>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</si>
  <si>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</si>
  <si>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</si>
  <si>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Méne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</si>
  <si>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</si>
  <si>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</si>
  <si>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</si>
  <si>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</si>
  <si>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</si>
  <si>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</si>
  <si>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</si>
  <si>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Tiésto,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</si>
  <si>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</si>
  <si>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</si>
  <si>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</si>
  <si>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</si>
  <si>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</si>
  <si>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</si>
  <si>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</si>
  <si>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</si>
  <si>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</si>
  <si>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Xamé, Gustah, Neo B</t>
  </si>
  <si>
    <t>All Too Well (10 Minute Version) (Taylor's Version) (From The Vault)</t>
  </si>
  <si>
    <t>Don't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</si>
  <si>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</si>
  <si>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</si>
  <si>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</si>
  <si>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</si>
  <si>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</si>
  <si>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</si>
  <si>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</si>
  <si>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Tavérez,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</si>
  <si>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</si>
  <si>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</si>
  <si>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</si>
  <si>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</si>
  <si>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</si>
  <si>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</si>
  <si>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</si>
  <si>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</si>
  <si>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</si>
  <si>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</si>
  <si>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</si>
  <si>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</si>
  <si>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</si>
  <si>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</si>
  <si>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</si>
  <si>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</si>
  <si>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</si>
  <si>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</si>
  <si>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</si>
  <si>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</si>
  <si>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</si>
  <si>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</si>
  <si>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</si>
  <si>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Léï¿</t>
  </si>
  <si>
    <t>Stromae</t>
  </si>
  <si>
    <t>NosTáOK½l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</si>
  <si>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</si>
  <si>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</si>
  <si>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</si>
  <si>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</si>
  <si>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</si>
  <si>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</si>
  <si>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</si>
  <si>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</si>
  <si>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</si>
  <si>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</si>
  <si>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</si>
  <si>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</si>
  <si>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</si>
  <si>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</si>
  <si>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</si>
  <si>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</si>
  <si>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</si>
  <si>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</si>
  <si>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</si>
  <si>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</si>
  <si>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</si>
  <si>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</si>
  <si>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</si>
  <si>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</si>
  <si>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</si>
  <si>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Tiésto, Kar</t>
  </si>
  <si>
    <t>Love Grows (Where My Rosemary Goes)</t>
  </si>
  <si>
    <t>Edison Lighthouse</t>
  </si>
  <si>
    <t>BPM110KeyAModeMajorDanceability53Valence75Energy69Acousticness7Instrumentalness0Liveness17Speechiness3</t>
  </si>
  <si>
    <t>LA FAMA (with The Weeknd)</t>
  </si>
  <si>
    <t>The Weeknd,  ROSALÍA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</si>
  <si>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</si>
  <si>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</si>
  <si>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</si>
  <si>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</si>
  <si>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</si>
  <si>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</si>
  <si>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</si>
  <si>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</si>
  <si>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</si>
  <si>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</si>
  <si>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</si>
  <si>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</si>
  <si>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</si>
  <si>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</si>
  <si>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</si>
  <si>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</si>
  <si>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</si>
  <si>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</si>
  <si>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</si>
  <si>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</si>
  <si>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</si>
  <si>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</si>
  <si>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</si>
  <si>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</si>
  <si>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</si>
  <si>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</si>
  <si>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</si>
  <si>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</si>
  <si>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</si>
  <si>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</si>
  <si>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</si>
  <si>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</si>
  <si>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</si>
  <si>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</si>
  <si>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</si>
  <si>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</si>
  <si>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</si>
  <si>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</si>
  <si>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Lé Em Casa </t>
  </si>
  <si>
    <t>Marélia Mendonéa,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</si>
  <si>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</si>
  <si>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</si>
  <si>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</si>
  <si>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</si>
  <si>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</si>
  <si>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</si>
  <si>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</si>
  <si>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</si>
  <si>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</si>
  <si>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</si>
  <si>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</si>
  <si>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</si>
  <si>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</si>
  <si>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</si>
  <si>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</si>
  <si>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</si>
  <si>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</si>
  <si>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</si>
  <si>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</si>
  <si>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</si>
  <si>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</si>
  <si>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</si>
  <si>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</si>
  <si>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</si>
  <si>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</si>
  <si>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</si>
  <si>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Cé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</si>
  <si>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</si>
  <si>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</si>
  <si>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</si>
  <si>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</si>
  <si>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</si>
  <si>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</si>
  <si>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Qué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</si>
  <si>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</si>
  <si>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</si>
  <si>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</si>
  <si>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</si>
  <si>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</si>
  <si>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</si>
  <si>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</si>
  <si>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</si>
  <si>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</si>
  <si>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</si>
  <si>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</si>
  <si>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</si>
  <si>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</si>
  <si>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</si>
  <si>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</si>
  <si>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</si>
  <si>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</si>
  <si>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</si>
  <si>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</si>
  <si>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</si>
  <si>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</si>
  <si>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</si>
  <si>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</si>
  <si>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</si>
  <si>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</si>
  <si>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</si>
  <si>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</si>
  <si>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</si>
  <si>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</si>
  <si>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</si>
  <si>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</si>
  <si>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Till I Collapse</t>
  </si>
  <si>
    <t>Eminem, Nate Dogg</t>
  </si>
  <si>
    <t>Memories</t>
  </si>
  <si>
    <t>Maroon 5</t>
  </si>
  <si>
    <t>Se Le Ve</t>
  </si>
  <si>
    <t>Arcangel, De La Ghetto, Justin Quiles, Lenny Tavérez, Sech, Dalex, Dimelo Flow, Rich Music</t>
  </si>
  <si>
    <t>25k jacket (feat. Lil Baby)</t>
  </si>
  <si>
    <t>Gunna, Lil Baby</t>
  </si>
  <si>
    <t xml:space="preserve">When I'm Gone (with Katy </t>
  </si>
  <si>
    <t>Katy Perry, Alesso</t>
  </si>
  <si>
    <t>Esqueéa-Me Se For C</t>
  </si>
  <si>
    <t>Marélia Mendonéa, Maiara &amp;</t>
  </si>
  <si>
    <t>Mién</t>
  </si>
  <si>
    <t>Tini, Maria Becerra</t>
  </si>
  <si>
    <t>Sé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</si>
  <si>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</si>
  <si>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</si>
  <si>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</si>
  <si>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</si>
  <si>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</si>
  <si>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</si>
  <si>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</si>
  <si>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</si>
  <si>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</si>
  <si>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</si>
  <si>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</si>
  <si>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</si>
  <si>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</si>
  <si>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</si>
  <si>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</si>
  <si>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</si>
  <si>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</si>
  <si>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</si>
  <si>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</si>
  <si>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</si>
  <si>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</si>
  <si>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</si>
  <si>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</si>
  <si>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</si>
  <si>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</si>
  <si>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</si>
  <si>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</si>
  <si>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</si>
  <si>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</si>
  <si>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</si>
  <si>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</si>
  <si>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</si>
  <si>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Cayé La Noche (feat. Cruz Cafuné, Abhir Hathi, Bejo, EL IMA)</t>
  </si>
  <si>
    <t>Quevedo, La Pantera, Juseph, Cruz Cafuné, Béjo,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</si>
  <si>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</si>
  <si>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</si>
  <si>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</si>
  <si>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</si>
  <si>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</si>
  <si>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</si>
  <si>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</si>
  <si>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</si>
  <si>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</si>
  <si>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</si>
  <si>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</si>
  <si>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</si>
  <si>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</si>
  <si>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</si>
  <si>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</si>
  <si>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</si>
  <si>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</si>
  <si>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</si>
  <si>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</si>
  <si>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</si>
  <si>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</si>
  <si>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</si>
  <si>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</si>
  <si>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</si>
  <si>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</si>
  <si>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</si>
  <si>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</si>
  <si>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Zé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</si>
  <si>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</si>
  <si>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</si>
  <si>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</si>
  <si>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</si>
  <si>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</si>
  <si>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</si>
  <si>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</si>
  <si>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</si>
  <si>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</si>
  <si>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Marélia Mendonéa, Hugo &amp; G</t>
  </si>
  <si>
    <t>When I R.I.P.</t>
  </si>
  <si>
    <t>Do We Have A Problem?</t>
  </si>
  <si>
    <t>Forever</t>
  </si>
  <si>
    <t>Gospel (with Eminem)</t>
  </si>
  <si>
    <t>Seéo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</si>
  <si>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</si>
  <si>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</si>
  <si>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</si>
  <si>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</si>
  <si>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</si>
  <si>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</si>
  <si>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</si>
  <si>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</si>
  <si>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</si>
  <si>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</si>
  <si>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</si>
  <si>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</si>
  <si>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</si>
  <si>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</si>
  <si>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</si>
  <si>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</si>
  <si>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</si>
  <si>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</si>
  <si>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</si>
  <si>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DANéA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</si>
  <si>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</si>
  <si>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</si>
  <si>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</si>
  <si>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</si>
  <si>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</si>
  <si>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</si>
  <si>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</si>
  <si>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</si>
  <si>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</si>
  <si>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 xml:space="preserve">Eden Muñoz 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</si>
  <si>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</si>
  <si>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</si>
  <si>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</si>
  <si>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</si>
  <si>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</si>
  <si>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</si>
  <si>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</si>
  <si>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</si>
  <si>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</si>
  <si>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</si>
  <si>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</si>
  <si>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</si>
  <si>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</si>
  <si>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</si>
  <si>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</si>
  <si>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</si>
  <si>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Monéy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</si>
  <si>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</si>
  <si>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</si>
  <si>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</si>
  <si>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</si>
  <si>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</si>
  <si>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</si>
  <si>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</si>
  <si>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</si>
  <si>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</si>
  <si>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</si>
  <si>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</si>
  <si>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</si>
  <si>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</si>
  <si>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</si>
  <si>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</si>
  <si>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</si>
  <si>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</si>
  <si>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</si>
  <si>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éLTIMA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</si>
  <si>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</si>
  <si>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</si>
  <si>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</si>
  <si>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</si>
  <si>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</si>
  <si>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</si>
  <si>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</si>
  <si>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</si>
  <si>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</si>
  <si>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</si>
  <si>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</si>
  <si>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</si>
  <si>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</si>
  <si>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</si>
  <si>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</si>
  <si>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Matué,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</si>
  <si>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</si>
  <si>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</si>
  <si>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</si>
  <si>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</si>
  <si>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</si>
  <si>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</si>
  <si>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</si>
  <si>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</si>
  <si>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</si>
  <si>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</si>
  <si>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</si>
  <si>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Luésa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</si>
  <si>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</si>
  <si>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</si>
  <si>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</si>
  <si>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</si>
  <si>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</si>
  <si>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</si>
  <si>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</si>
  <si>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</si>
  <si>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</si>
  <si>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</si>
  <si>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</si>
  <si>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</si>
  <si>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</si>
  <si>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</si>
  <si>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Pixar's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</si>
  <si>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</si>
  <si>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</si>
  <si>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</si>
  <si>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</si>
  <si>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</si>
  <si>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</si>
  <si>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</si>
  <si>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Después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</si>
  <si>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</si>
  <si>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</si>
  <si>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</si>
  <si>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</si>
  <si>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</si>
  <si>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</si>
  <si>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</si>
  <si>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</si>
  <si>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</si>
  <si>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</si>
  <si>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</si>
  <si>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</si>
  <si>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</si>
  <si>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</si>
  <si>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</si>
  <si>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</si>
  <si>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</si>
  <si>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</si>
  <si>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</si>
  <si>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</si>
  <si>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</si>
  <si>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</si>
  <si>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</si>
  <si>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</si>
  <si>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</si>
  <si>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</si>
  <si>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</si>
  <si>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</si>
  <si>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</si>
  <si>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</si>
  <si>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</si>
  <si>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Ens'ï¿½ame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</si>
  <si>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</si>
  <si>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</si>
  <si>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</si>
  <si>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</si>
  <si>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</si>
  <si>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</si>
  <si>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</si>
  <si>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</si>
  <si>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</si>
  <si>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</si>
  <si>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</si>
  <si>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</si>
  <si>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</si>
  <si>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</si>
  <si>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</si>
  <si>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</si>
  <si>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</si>
  <si>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</si>
  <si>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</si>
  <si>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</si>
  <si>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</si>
  <si>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</si>
  <si>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</si>
  <si>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</si>
  <si>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</si>
  <si>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</si>
  <si>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</si>
  <si>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</si>
  <si>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</si>
  <si>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</si>
  <si>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LéGR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</si>
  <si>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</si>
  <si>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</si>
  <si>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</si>
  <si>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</si>
  <si>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</si>
  <si>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</si>
  <si>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</si>
  <si>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</si>
  <si>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</si>
  <si>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</si>
  <si>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</si>
  <si>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</si>
  <si>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</si>
  <si>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</si>
  <si>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</si>
  <si>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</si>
  <si>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</si>
  <si>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</si>
  <si>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</si>
  <si>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</si>
  <si>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</si>
  <si>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</si>
  <si>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(Taylor's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</si>
  <si>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</si>
  <si>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</si>
  <si>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</si>
  <si>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</si>
  <si>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</si>
  <si>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</si>
  <si>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</si>
  <si>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</si>
  <si>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</si>
  <si>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</si>
  <si>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</si>
  <si>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</si>
  <si>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</si>
  <si>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</si>
  <si>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</si>
  <si>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éengo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</si>
  <si>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</si>
  <si>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</si>
  <si>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</si>
  <si>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</si>
  <si>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</si>
  <si>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</si>
  <si>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</si>
  <si>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</si>
  <si>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</si>
  <si>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</si>
  <si>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</si>
  <si>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</si>
  <si>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</si>
  <si>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</si>
  <si>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</si>
  <si>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</si>
  <si>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</si>
  <si>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</si>
  <si>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</si>
  <si>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</si>
  <si>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</si>
  <si>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</si>
  <si>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</si>
  <si>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</si>
  <si>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</si>
  <si>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</si>
  <si>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</si>
  <si>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</si>
  <si>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</si>
  <si>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</si>
  <si>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</si>
  <si>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</si>
  <si>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</si>
  <si>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</si>
  <si>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</si>
  <si>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</si>
  <si>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</si>
  <si>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</si>
  <si>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</si>
  <si>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</si>
  <si>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</si>
  <si>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</si>
  <si>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</si>
  <si>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</si>
  <si>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</si>
  <si>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</si>
  <si>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</si>
  <si>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</si>
  <si>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</si>
  <si>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</si>
  <si>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</si>
  <si>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Schérze,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</si>
  <si>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</si>
  <si>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</si>
  <si>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</si>
  <si>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</si>
  <si>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</si>
  <si>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</si>
  <si>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</si>
  <si>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</si>
  <si>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</si>
  <si>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</si>
  <si>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</si>
  <si>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</si>
  <si>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</si>
  <si>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</si>
  <si>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</si>
  <si>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</si>
  <si>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</si>
  <si>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</si>
  <si>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</si>
  <si>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cémo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</si>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</sst>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290000"/>
      <name val="Calibri"/>
      <family val="2"/>
      <scheme val="minor"/>
    </font>
    <font>
      <sz val="10"/>
      <color theme="0"/>
      <name val="Aptos"/>
      <family val="2"/>
    </font>
    <font>
      <sz val="10"/>
      <color theme="1"/>
      <name val="Aptos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0"/>
      <color rgb="FFFFFFFF"/>
      <name val="Aptos"/>
      <family val="2"/>
    </font>
    <font>
      <sz val="11"/>
      <color rgb="FF242424"/>
      <name val="Aptos Narrow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9" fillId="0" borderId="0" xfId="0" applyFont="1"/>
    <xf numFmtId="2" fontId="17" fillId="33" borderId="0" xfId="0" applyNumberFormat="1" applyFont="1" applyFill="1"/>
    <xf numFmtId="0" fontId="17" fillId="33" borderId="0" xfId="0" applyFont="1" applyFill="1"/>
    <xf numFmtId="0" fontId="20" fillId="33" borderId="0" xfId="0" applyFont="1" applyFill="1"/>
    <xf numFmtId="0" fontId="21" fillId="33" borderId="0" xfId="0" applyFont="1" applyFill="1"/>
    <xf numFmtId="2" fontId="20" fillId="33" borderId="0" xfId="0" applyNumberFormat="1" applyFont="1" applyFill="1"/>
    <xf numFmtId="0" fontId="23" fillId="35" borderId="10" xfId="0" applyFont="1" applyFill="1" applyBorder="1"/>
    <xf numFmtId="0" fontId="24" fillId="33" borderId="0" xfId="0" applyFont="1" applyFill="1"/>
    <xf numFmtId="164" fontId="17" fillId="33" borderId="0" xfId="0" applyNumberFormat="1" applyFont="1" applyFill="1"/>
    <xf numFmtId="0" fontId="22" fillId="34" borderId="10" xfId="0" applyFont="1" applyFill="1" applyBorder="1"/>
    <xf numFmtId="0" fontId="22" fillId="34" borderId="11" xfId="0" applyFont="1" applyFill="1" applyBorder="1"/>
    <xf numFmtId="0" fontId="22" fillId="0" borderId="10" xfId="0" applyFont="1" applyBorder="1"/>
    <xf numFmtId="0" fontId="22" fillId="0" borderId="11" xfId="0" applyFont="1" applyBorder="1"/>
    <xf numFmtId="20" fontId="22" fillId="0" borderId="10" xfId="0" applyNumberFormat="1" applyFont="1" applyBorder="1"/>
    <xf numFmtId="0" fontId="22" fillId="34" borderId="10" xfId="0" quotePrefix="1" applyFont="1" applyFill="1" applyBorder="1"/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font>
        <b val="0"/>
        <i val="0"/>
        <u val="none"/>
        <sz val="10"/>
        <name val="Aptos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"/>
        <family val="2"/>
        <scheme val="none"/>
      </font>
      <fill>
        <patternFill patternType="solid">
          <fgColor indexed="64"/>
          <bgColor theme="1"/>
        </patternFill>
      </fill>
    </dxf>
    <dxf>
      <font>
        <b val="0"/>
        <i val="0"/>
        <u val="none"/>
        <sz val="10"/>
        <name val="Aptos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"/>
        <family val="2"/>
        <scheme val="none"/>
      </font>
      <fill>
        <patternFill patternType="solid">
          <fgColor indexed="64"/>
          <bgColor theme="1"/>
        </patternFill>
      </fill>
    </dxf>
    <dxf>
      <font>
        <b val="0"/>
        <i val="0"/>
        <u val="none"/>
        <sz val="10"/>
        <name val="Aptos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"/>
        <family val="2"/>
        <scheme val="none"/>
      </font>
      <fill>
        <patternFill patternType="solid">
          <fgColor indexed="64"/>
          <bgColor theme="1"/>
        </patternFill>
      </fill>
    </dxf>
    <dxf>
      <font>
        <b val="0"/>
        <i val="0"/>
        <u val="none"/>
        <sz val="10"/>
        <name val="Aptos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"/>
        <family val="2"/>
        <scheme val="none"/>
      </font>
      <fill>
        <patternFill patternType="solid">
          <fgColor indexed="64"/>
          <bgColor theme="1"/>
        </patternFill>
      </fill>
    </dxf>
    <dxf>
      <font>
        <b val="0"/>
        <i val="0"/>
        <u val="none"/>
        <sz val="10"/>
        <name val="Aptos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"/>
        <family val="2"/>
        <scheme val="none"/>
      </font>
      <fill>
        <patternFill patternType="solid">
          <fgColor indexed="64"/>
          <bgColor theme="1"/>
        </patternFill>
      </fill>
    </dxf>
    <dxf>
      <font>
        <b val="0"/>
        <i val="0"/>
        <u val="none"/>
        <sz val="10"/>
        <name val="Aptos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"/>
        <family val="2"/>
        <scheme val="none"/>
      </font>
      <fill>
        <patternFill patternType="solid">
          <fgColor indexed="64"/>
          <bgColor theme="1"/>
        </patternFill>
      </fill>
    </dxf>
    <dxf>
      <font>
        <b val="0"/>
        <i val="0"/>
        <u val="none"/>
        <sz val="10"/>
        <name val="Aptos"/>
      </font>
      <fill>
        <patternFill patternType="solid">
          <fgColor indexed="64"/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theme="1"/>
        </patternFill>
      </fill>
    </dxf>
    <dxf>
      <border>
        <left/>
        <right/>
        <top/>
        <bottom/>
      </border>
    </dxf>
    <dxf>
      <font>
        <b val="0"/>
        <i val="0"/>
        <u val="none"/>
        <sz val="10"/>
        <name val="Aptos"/>
      </font>
      <fill>
        <patternFill patternType="solid">
          <fgColor indexed="64"/>
          <bgColor theme="1"/>
        </patternFill>
      </fill>
    </dxf>
    <dxf>
      <font>
        <b val="0"/>
        <i val="0"/>
        <u val="none"/>
        <sz val="10"/>
        <name val="Aptos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2" formatCode="0.00"/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290000"/>
      <color rgb="FFFF00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dataset CA2.xlsx]in!PivotTable1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/ Streams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in!$AK$1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in!$AJ$2:$AJ$53</c:f>
              <c:strCache>
                <c:ptCount val="51"/>
                <c:pt idx="0">
                  <c:v>1930</c:v>
                </c:pt>
                <c:pt idx="1">
                  <c:v>1942</c:v>
                </c:pt>
                <c:pt idx="2">
                  <c:v>1946</c:v>
                </c:pt>
                <c:pt idx="3">
                  <c:v>1950</c:v>
                </c:pt>
                <c:pt idx="4">
                  <c:v>1952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1963</c:v>
                </c:pt>
                <c:pt idx="9">
                  <c:v>1968</c:v>
                </c:pt>
                <c:pt idx="10">
                  <c:v>1970</c:v>
                </c:pt>
                <c:pt idx="11">
                  <c:v>1971</c:v>
                </c:pt>
                <c:pt idx="12">
                  <c:v>1973</c:v>
                </c:pt>
                <c:pt idx="13">
                  <c:v>1975</c:v>
                </c:pt>
                <c:pt idx="14">
                  <c:v>1979</c:v>
                </c:pt>
                <c:pt idx="15">
                  <c:v>1982</c:v>
                </c:pt>
                <c:pt idx="16">
                  <c:v>1983</c:v>
                </c:pt>
                <c:pt idx="17">
                  <c:v>1984</c:v>
                </c:pt>
                <c:pt idx="18">
                  <c:v>1985</c:v>
                </c:pt>
                <c:pt idx="19">
                  <c:v>1986</c:v>
                </c:pt>
                <c:pt idx="20">
                  <c:v>1987</c:v>
                </c:pt>
                <c:pt idx="21">
                  <c:v>1991</c:v>
                </c:pt>
                <c:pt idx="22">
                  <c:v>1992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2007</c:v>
                </c:pt>
                <c:pt idx="35">
                  <c:v>2008</c:v>
                </c:pt>
                <c:pt idx="36">
                  <c:v>2010</c:v>
                </c:pt>
                <c:pt idx="37">
                  <c:v>2011</c:v>
                </c:pt>
                <c:pt idx="38">
                  <c:v>2012</c:v>
                </c:pt>
                <c:pt idx="39">
                  <c:v>2013</c:v>
                </c:pt>
                <c:pt idx="40">
                  <c:v>2014</c:v>
                </c:pt>
                <c:pt idx="41">
                  <c:v>2015</c:v>
                </c:pt>
                <c:pt idx="42">
                  <c:v>2016</c:v>
                </c:pt>
                <c:pt idx="43">
                  <c:v>2017</c:v>
                </c:pt>
                <c:pt idx="44">
                  <c:v>2018</c:v>
                </c:pt>
                <c:pt idx="45">
                  <c:v>2019</c:v>
                </c:pt>
                <c:pt idx="46">
                  <c:v>2020</c:v>
                </c:pt>
                <c:pt idx="47">
                  <c:v>2021</c:v>
                </c:pt>
                <c:pt idx="48">
                  <c:v>2022</c:v>
                </c:pt>
                <c:pt idx="49">
                  <c:v>2023</c:v>
                </c:pt>
                <c:pt idx="50">
                  <c:v>(blank)</c:v>
                </c:pt>
              </c:strCache>
            </c:strRef>
          </c:cat>
          <c:val>
            <c:numRef>
              <c:f>in!$AK$2:$AK$53</c:f>
              <c:numCache>
                <c:formatCode>General</c:formatCode>
                <c:ptCount val="51"/>
                <c:pt idx="0" formatCode="0.00">
                  <c:v>90598517</c:v>
                </c:pt>
                <c:pt idx="1">
                  <c:v>395591396</c:v>
                </c:pt>
                <c:pt idx="2">
                  <c:v>389771964</c:v>
                </c:pt>
                <c:pt idx="3">
                  <c:v>473248298</c:v>
                </c:pt>
                <c:pt idx="4">
                  <c:v>395591396</c:v>
                </c:pt>
                <c:pt idx="5">
                  <c:v>459981011</c:v>
                </c:pt>
                <c:pt idx="6">
                  <c:v>436854312.33333331</c:v>
                </c:pt>
                <c:pt idx="7">
                  <c:v>286708922</c:v>
                </c:pt>
                <c:pt idx="8">
                  <c:v>437087793.66666669</c:v>
                </c:pt>
                <c:pt idx="9">
                  <c:v>1145727611</c:v>
                </c:pt>
                <c:pt idx="10">
                  <c:v>520034544</c:v>
                </c:pt>
                <c:pt idx="11">
                  <c:v>460492795</c:v>
                </c:pt>
                <c:pt idx="12">
                  <c:v>838586769</c:v>
                </c:pt>
                <c:pt idx="13">
                  <c:v>2103052676</c:v>
                </c:pt>
                <c:pt idx="14">
                  <c:v>403939487</c:v>
                </c:pt>
                <c:pt idx="15">
                  <c:v>175137725</c:v>
                </c:pt>
                <c:pt idx="16">
                  <c:v>1593270737</c:v>
                </c:pt>
                <c:pt idx="17">
                  <c:v>867906341.5</c:v>
                </c:pt>
                <c:pt idx="18">
                  <c:v>1115404970.5</c:v>
                </c:pt>
                <c:pt idx="19">
                  <c:v>566837918</c:v>
                </c:pt>
                <c:pt idx="20">
                  <c:v>1553497987</c:v>
                </c:pt>
                <c:pt idx="21">
                  <c:v>1029419894.5</c:v>
                </c:pt>
                <c:pt idx="22">
                  <c:v>1271293243</c:v>
                </c:pt>
                <c:pt idx="23">
                  <c:v>1449779435</c:v>
                </c:pt>
                <c:pt idx="24">
                  <c:v>968501958</c:v>
                </c:pt>
                <c:pt idx="25">
                  <c:v>106933107</c:v>
                </c:pt>
                <c:pt idx="26">
                  <c:v>103762518</c:v>
                </c:pt>
                <c:pt idx="27">
                  <c:v>1284942608</c:v>
                </c:pt>
                <c:pt idx="28">
                  <c:v>1080615564.4000001</c:v>
                </c:pt>
                <c:pt idx="29">
                  <c:v>983493509.75</c:v>
                </c:pt>
                <c:pt idx="30">
                  <c:v>1446620470.5</c:v>
                </c:pt>
                <c:pt idx="31">
                  <c:v>1584021370.5</c:v>
                </c:pt>
                <c:pt idx="32">
                  <c:v>878929559.75</c:v>
                </c:pt>
                <c:pt idx="33">
                  <c:v>180577478</c:v>
                </c:pt>
                <c:pt idx="34">
                  <c:v>1217120710</c:v>
                </c:pt>
                <c:pt idx="35">
                  <c:v>1240407950</c:v>
                </c:pt>
                <c:pt idx="36">
                  <c:v>1081405682.5714285</c:v>
                </c:pt>
                <c:pt idx="37">
                  <c:v>936321290.70000005</c:v>
                </c:pt>
                <c:pt idx="38">
                  <c:v>1341534278.7</c:v>
                </c:pt>
                <c:pt idx="39">
                  <c:v>1220192294.9230769</c:v>
                </c:pt>
                <c:pt idx="40">
                  <c:v>1264047139.3846154</c:v>
                </c:pt>
                <c:pt idx="41">
                  <c:v>993721360.81818187</c:v>
                </c:pt>
                <c:pt idx="42">
                  <c:v>1124607803.5555556</c:v>
                </c:pt>
                <c:pt idx="43">
                  <c:v>1367723437.3913043</c:v>
                </c:pt>
                <c:pt idx="44">
                  <c:v>1503052239</c:v>
                </c:pt>
                <c:pt idx="45">
                  <c:v>1051970349.4722222</c:v>
                </c:pt>
                <c:pt idx="46">
                  <c:v>937938698.83783782</c:v>
                </c:pt>
                <c:pt idx="47">
                  <c:v>620236159.99159658</c:v>
                </c:pt>
                <c:pt idx="48">
                  <c:v>289558154.13432837</c:v>
                </c:pt>
                <c:pt idx="49">
                  <c:v>147477052.02285713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7-4C98-A4B2-FB21855C6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97768"/>
        <c:axId val="50999816"/>
      </c:lineChart>
      <c:catAx>
        <c:axId val="50997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99816"/>
        <c:crosses val="autoZero"/>
        <c:auto val="1"/>
        <c:lblAlgn val="ctr"/>
        <c:lblOffset val="100"/>
        <c:noMultiLvlLbl val="0"/>
      </c:catAx>
      <c:valAx>
        <c:axId val="5099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Streams</a:t>
                </a:r>
              </a:p>
            </c:rich>
          </c:tx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9050"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97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dataset CA2.xlsx]in!PivotTable2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bpm/energy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in!$Q$2:$Q$126</c:f>
              <c:strCache>
                <c:ptCount val="124"/>
                <c:pt idx="0">
                  <c:v>65</c:v>
                </c:pt>
                <c:pt idx="1">
                  <c:v>67</c:v>
                </c:pt>
                <c:pt idx="2">
                  <c:v>71</c:v>
                </c:pt>
                <c:pt idx="3">
                  <c:v>72</c:v>
                </c:pt>
                <c:pt idx="4">
                  <c:v>73</c:v>
                </c:pt>
                <c:pt idx="5">
                  <c:v>74</c:v>
                </c:pt>
                <c:pt idx="6">
                  <c:v>75</c:v>
                </c:pt>
                <c:pt idx="7">
                  <c:v>76</c:v>
                </c:pt>
                <c:pt idx="8">
                  <c:v>77</c:v>
                </c:pt>
                <c:pt idx="9">
                  <c:v>78</c:v>
                </c:pt>
                <c:pt idx="10">
                  <c:v>79</c:v>
                </c:pt>
                <c:pt idx="11">
                  <c:v>80</c:v>
                </c:pt>
                <c:pt idx="12">
                  <c:v>81</c:v>
                </c:pt>
                <c:pt idx="13">
                  <c:v>82</c:v>
                </c:pt>
                <c:pt idx="14">
                  <c:v>83</c:v>
                </c:pt>
                <c:pt idx="15">
                  <c:v>84</c:v>
                </c:pt>
                <c:pt idx="16">
                  <c:v>85</c:v>
                </c:pt>
                <c:pt idx="17">
                  <c:v>86</c:v>
                </c:pt>
                <c:pt idx="18">
                  <c:v>87</c:v>
                </c:pt>
                <c:pt idx="19">
                  <c:v>88</c:v>
                </c:pt>
                <c:pt idx="20">
                  <c:v>89</c:v>
                </c:pt>
                <c:pt idx="21">
                  <c:v>90</c:v>
                </c:pt>
                <c:pt idx="22">
                  <c:v>91</c:v>
                </c:pt>
                <c:pt idx="23">
                  <c:v>92</c:v>
                </c:pt>
                <c:pt idx="24">
                  <c:v>93</c:v>
                </c:pt>
                <c:pt idx="25">
                  <c:v>94</c:v>
                </c:pt>
                <c:pt idx="26">
                  <c:v>95</c:v>
                </c:pt>
                <c:pt idx="27">
                  <c:v>96</c:v>
                </c:pt>
                <c:pt idx="28">
                  <c:v>97</c:v>
                </c:pt>
                <c:pt idx="29">
                  <c:v>98</c:v>
                </c:pt>
                <c:pt idx="30">
                  <c:v>99</c:v>
                </c:pt>
                <c:pt idx="31">
                  <c:v>100</c:v>
                </c:pt>
                <c:pt idx="32">
                  <c:v>101</c:v>
                </c:pt>
                <c:pt idx="33">
                  <c:v>102</c:v>
                </c:pt>
                <c:pt idx="34">
                  <c:v>103</c:v>
                </c:pt>
                <c:pt idx="35">
                  <c:v>104</c:v>
                </c:pt>
                <c:pt idx="36">
                  <c:v>105</c:v>
                </c:pt>
                <c:pt idx="37">
                  <c:v>106</c:v>
                </c:pt>
                <c:pt idx="38">
                  <c:v>107</c:v>
                </c:pt>
                <c:pt idx="39">
                  <c:v>108</c:v>
                </c:pt>
                <c:pt idx="40">
                  <c:v>109</c:v>
                </c:pt>
                <c:pt idx="41">
                  <c:v>110</c:v>
                </c:pt>
                <c:pt idx="42">
                  <c:v>111</c:v>
                </c:pt>
                <c:pt idx="43">
                  <c:v>112</c:v>
                </c:pt>
                <c:pt idx="44">
                  <c:v>113</c:v>
                </c:pt>
                <c:pt idx="45">
                  <c:v>114</c:v>
                </c:pt>
                <c:pt idx="46">
                  <c:v>115</c:v>
                </c:pt>
                <c:pt idx="47">
                  <c:v>116</c:v>
                </c:pt>
                <c:pt idx="48">
                  <c:v>117</c:v>
                </c:pt>
                <c:pt idx="49">
                  <c:v>118</c:v>
                </c:pt>
                <c:pt idx="50">
                  <c:v>119</c:v>
                </c:pt>
                <c:pt idx="51">
                  <c:v>120</c:v>
                </c:pt>
                <c:pt idx="52">
                  <c:v>121</c:v>
                </c:pt>
                <c:pt idx="53">
                  <c:v>122</c:v>
                </c:pt>
                <c:pt idx="54">
                  <c:v>123</c:v>
                </c:pt>
                <c:pt idx="55">
                  <c:v>124</c:v>
                </c:pt>
                <c:pt idx="56">
                  <c:v>125</c:v>
                </c:pt>
                <c:pt idx="57">
                  <c:v>126</c:v>
                </c:pt>
                <c:pt idx="58">
                  <c:v>127</c:v>
                </c:pt>
                <c:pt idx="59">
                  <c:v>128</c:v>
                </c:pt>
                <c:pt idx="60">
                  <c:v>129</c:v>
                </c:pt>
                <c:pt idx="61">
                  <c:v>130</c:v>
                </c:pt>
                <c:pt idx="62">
                  <c:v>131</c:v>
                </c:pt>
                <c:pt idx="63">
                  <c:v>132</c:v>
                </c:pt>
                <c:pt idx="64">
                  <c:v>133</c:v>
                </c:pt>
                <c:pt idx="65">
                  <c:v>134</c:v>
                </c:pt>
                <c:pt idx="66">
                  <c:v>135</c:v>
                </c:pt>
                <c:pt idx="67">
                  <c:v>136</c:v>
                </c:pt>
                <c:pt idx="68">
                  <c:v>137</c:v>
                </c:pt>
                <c:pt idx="69">
                  <c:v>138</c:v>
                </c:pt>
                <c:pt idx="70">
                  <c:v>139</c:v>
                </c:pt>
                <c:pt idx="71">
                  <c:v>140</c:v>
                </c:pt>
                <c:pt idx="72">
                  <c:v>141</c:v>
                </c:pt>
                <c:pt idx="73">
                  <c:v>142</c:v>
                </c:pt>
                <c:pt idx="74">
                  <c:v>143</c:v>
                </c:pt>
                <c:pt idx="75">
                  <c:v>144</c:v>
                </c:pt>
                <c:pt idx="76">
                  <c:v>145</c:v>
                </c:pt>
                <c:pt idx="77">
                  <c:v>146</c:v>
                </c:pt>
                <c:pt idx="78">
                  <c:v>147</c:v>
                </c:pt>
                <c:pt idx="79">
                  <c:v>148</c:v>
                </c:pt>
                <c:pt idx="80">
                  <c:v>149</c:v>
                </c:pt>
                <c:pt idx="81">
                  <c:v>150</c:v>
                </c:pt>
                <c:pt idx="82">
                  <c:v>151</c:v>
                </c:pt>
                <c:pt idx="83">
                  <c:v>152</c:v>
                </c:pt>
                <c:pt idx="84">
                  <c:v>153</c:v>
                </c:pt>
                <c:pt idx="85">
                  <c:v>154</c:v>
                </c:pt>
                <c:pt idx="86">
                  <c:v>155</c:v>
                </c:pt>
                <c:pt idx="87">
                  <c:v>156</c:v>
                </c:pt>
                <c:pt idx="88">
                  <c:v>157</c:v>
                </c:pt>
                <c:pt idx="89">
                  <c:v>158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164</c:v>
                </c:pt>
                <c:pt idx="95">
                  <c:v>165</c:v>
                </c:pt>
                <c:pt idx="96">
                  <c:v>166</c:v>
                </c:pt>
                <c:pt idx="97">
                  <c:v>168</c:v>
                </c:pt>
                <c:pt idx="98">
                  <c:v>169</c:v>
                </c:pt>
                <c:pt idx="99">
                  <c:v>170</c:v>
                </c:pt>
                <c:pt idx="100">
                  <c:v>171</c:v>
                </c:pt>
                <c:pt idx="101">
                  <c:v>172</c:v>
                </c:pt>
                <c:pt idx="102">
                  <c:v>173</c:v>
                </c:pt>
                <c:pt idx="103">
                  <c:v>174</c:v>
                </c:pt>
                <c:pt idx="104">
                  <c:v>175</c:v>
                </c:pt>
                <c:pt idx="105">
                  <c:v>176</c:v>
                </c:pt>
                <c:pt idx="106">
                  <c:v>177</c:v>
                </c:pt>
                <c:pt idx="107">
                  <c:v>178</c:v>
                </c:pt>
                <c:pt idx="108">
                  <c:v>179</c:v>
                </c:pt>
                <c:pt idx="109">
                  <c:v>180</c:v>
                </c:pt>
                <c:pt idx="110">
                  <c:v>181</c:v>
                </c:pt>
                <c:pt idx="111">
                  <c:v>182</c:v>
                </c:pt>
                <c:pt idx="112">
                  <c:v>183</c:v>
                </c:pt>
                <c:pt idx="113">
                  <c:v>184</c:v>
                </c:pt>
                <c:pt idx="114">
                  <c:v>186</c:v>
                </c:pt>
                <c:pt idx="115">
                  <c:v>188</c:v>
                </c:pt>
                <c:pt idx="116">
                  <c:v>189</c:v>
                </c:pt>
                <c:pt idx="117">
                  <c:v>192</c:v>
                </c:pt>
                <c:pt idx="118">
                  <c:v>196</c:v>
                </c:pt>
                <c:pt idx="119">
                  <c:v>198</c:v>
                </c:pt>
                <c:pt idx="120">
                  <c:v>200</c:v>
                </c:pt>
                <c:pt idx="121">
                  <c:v>202</c:v>
                </c:pt>
                <c:pt idx="122">
                  <c:v>204</c:v>
                </c:pt>
                <c:pt idx="123">
                  <c:v>206</c:v>
                </c:pt>
              </c:strCache>
            </c:strRef>
          </c:cat>
          <c:val>
            <c:numRef>
              <c:f>in!$R$2:$R$126</c:f>
              <c:numCache>
                <c:formatCode>0.00;[Red]0.00</c:formatCode>
                <c:ptCount val="124"/>
                <c:pt idx="0">
                  <c:v>25</c:v>
                </c:pt>
                <c:pt idx="1">
                  <c:v>53</c:v>
                </c:pt>
                <c:pt idx="2">
                  <c:v>44.666666666666664</c:v>
                </c:pt>
                <c:pt idx="3">
                  <c:v>41.333333333333336</c:v>
                </c:pt>
                <c:pt idx="4">
                  <c:v>41</c:v>
                </c:pt>
                <c:pt idx="5">
                  <c:v>67</c:v>
                </c:pt>
                <c:pt idx="6">
                  <c:v>62</c:v>
                </c:pt>
                <c:pt idx="7">
                  <c:v>43.5</c:v>
                </c:pt>
                <c:pt idx="8">
                  <c:v>72.5</c:v>
                </c:pt>
                <c:pt idx="9">
                  <c:v>48.333333333333336</c:v>
                </c:pt>
                <c:pt idx="10">
                  <c:v>49.75</c:v>
                </c:pt>
                <c:pt idx="11">
                  <c:v>56.416666666666664</c:v>
                </c:pt>
                <c:pt idx="12">
                  <c:v>61</c:v>
                </c:pt>
                <c:pt idx="13">
                  <c:v>60.285714285714285</c:v>
                </c:pt>
                <c:pt idx="14">
                  <c:v>57.4</c:v>
                </c:pt>
                <c:pt idx="15">
                  <c:v>68.625</c:v>
                </c:pt>
                <c:pt idx="16">
                  <c:v>59.571428571428569</c:v>
                </c:pt>
                <c:pt idx="17">
                  <c:v>41</c:v>
                </c:pt>
                <c:pt idx="18">
                  <c:v>62.5</c:v>
                </c:pt>
                <c:pt idx="19">
                  <c:v>64.5</c:v>
                </c:pt>
                <c:pt idx="20">
                  <c:v>56.2</c:v>
                </c:pt>
                <c:pt idx="21">
                  <c:v>65.047619047619051</c:v>
                </c:pt>
                <c:pt idx="22">
                  <c:v>63.75</c:v>
                </c:pt>
                <c:pt idx="23">
                  <c:v>65.599999999999994</c:v>
                </c:pt>
                <c:pt idx="24">
                  <c:v>67.428571428571431</c:v>
                </c:pt>
                <c:pt idx="25">
                  <c:v>63.266666666666666</c:v>
                </c:pt>
                <c:pt idx="26">
                  <c:v>69.6875</c:v>
                </c:pt>
                <c:pt idx="27">
                  <c:v>62</c:v>
                </c:pt>
                <c:pt idx="28">
                  <c:v>73.625</c:v>
                </c:pt>
                <c:pt idx="29">
                  <c:v>63.1875</c:v>
                </c:pt>
                <c:pt idx="30">
                  <c:v>65</c:v>
                </c:pt>
                <c:pt idx="31">
                  <c:v>59</c:v>
                </c:pt>
                <c:pt idx="32">
                  <c:v>70.7</c:v>
                </c:pt>
                <c:pt idx="33">
                  <c:v>76.8</c:v>
                </c:pt>
                <c:pt idx="34">
                  <c:v>64.5</c:v>
                </c:pt>
                <c:pt idx="35">
                  <c:v>66.5</c:v>
                </c:pt>
                <c:pt idx="36">
                  <c:v>73.10526315789474</c:v>
                </c:pt>
                <c:pt idx="37">
                  <c:v>65.166666666666671</c:v>
                </c:pt>
                <c:pt idx="38">
                  <c:v>62</c:v>
                </c:pt>
                <c:pt idx="39">
                  <c:v>56.230769230769234</c:v>
                </c:pt>
                <c:pt idx="40">
                  <c:v>64.5</c:v>
                </c:pt>
                <c:pt idx="41">
                  <c:v>62</c:v>
                </c:pt>
                <c:pt idx="42">
                  <c:v>59</c:v>
                </c:pt>
                <c:pt idx="43">
                  <c:v>65.400000000000006</c:v>
                </c:pt>
                <c:pt idx="44">
                  <c:v>55</c:v>
                </c:pt>
                <c:pt idx="45">
                  <c:v>62.9</c:v>
                </c:pt>
                <c:pt idx="46">
                  <c:v>67.583333333333329</c:v>
                </c:pt>
                <c:pt idx="47">
                  <c:v>71.444444444444443</c:v>
                </c:pt>
                <c:pt idx="48">
                  <c:v>64.444444444444443</c:v>
                </c:pt>
                <c:pt idx="49">
                  <c:v>64.285714285714292</c:v>
                </c:pt>
                <c:pt idx="50">
                  <c:v>52.6</c:v>
                </c:pt>
                <c:pt idx="51">
                  <c:v>64.230769230769226</c:v>
                </c:pt>
                <c:pt idx="52">
                  <c:v>71.599999999999994</c:v>
                </c:pt>
                <c:pt idx="53">
                  <c:v>71.05263157894737</c:v>
                </c:pt>
                <c:pt idx="54">
                  <c:v>71.75</c:v>
                </c:pt>
                <c:pt idx="55">
                  <c:v>65.142857142857139</c:v>
                </c:pt>
                <c:pt idx="56">
                  <c:v>76.055555555555557</c:v>
                </c:pt>
                <c:pt idx="57">
                  <c:v>67.900000000000006</c:v>
                </c:pt>
                <c:pt idx="58">
                  <c:v>82.25</c:v>
                </c:pt>
                <c:pt idx="59">
                  <c:v>75.07692307692308</c:v>
                </c:pt>
                <c:pt idx="60">
                  <c:v>56.428571428571431</c:v>
                </c:pt>
                <c:pt idx="61">
                  <c:v>68.838709677419359</c:v>
                </c:pt>
                <c:pt idx="62">
                  <c:v>57.666666666666664</c:v>
                </c:pt>
                <c:pt idx="63">
                  <c:v>67.571428571428569</c:v>
                </c:pt>
                <c:pt idx="64">
                  <c:v>72.777777777777771</c:v>
                </c:pt>
                <c:pt idx="65">
                  <c:v>56.615384615384613</c:v>
                </c:pt>
                <c:pt idx="66">
                  <c:v>62.090909090909093</c:v>
                </c:pt>
                <c:pt idx="67">
                  <c:v>62.714285714285715</c:v>
                </c:pt>
                <c:pt idx="68">
                  <c:v>73</c:v>
                </c:pt>
                <c:pt idx="69">
                  <c:v>63.888888888888886</c:v>
                </c:pt>
                <c:pt idx="70">
                  <c:v>42.666666666666664</c:v>
                </c:pt>
                <c:pt idx="71">
                  <c:v>63</c:v>
                </c:pt>
                <c:pt idx="72">
                  <c:v>59.8</c:v>
                </c:pt>
                <c:pt idx="73">
                  <c:v>61</c:v>
                </c:pt>
                <c:pt idx="74">
                  <c:v>60.142857142857146</c:v>
                </c:pt>
                <c:pt idx="75">
                  <c:v>63.333333333333336</c:v>
                </c:pt>
                <c:pt idx="76">
                  <c:v>60</c:v>
                </c:pt>
                <c:pt idx="77">
                  <c:v>56.444444444444443</c:v>
                </c:pt>
                <c:pt idx="78">
                  <c:v>72.2</c:v>
                </c:pt>
                <c:pt idx="79">
                  <c:v>69</c:v>
                </c:pt>
                <c:pt idx="80">
                  <c:v>63</c:v>
                </c:pt>
                <c:pt idx="81">
                  <c:v>60.761904761904759</c:v>
                </c:pt>
                <c:pt idx="82">
                  <c:v>57</c:v>
                </c:pt>
                <c:pt idx="83">
                  <c:v>68.333333333333329</c:v>
                </c:pt>
                <c:pt idx="84">
                  <c:v>65</c:v>
                </c:pt>
                <c:pt idx="85">
                  <c:v>76</c:v>
                </c:pt>
                <c:pt idx="86">
                  <c:v>58</c:v>
                </c:pt>
                <c:pt idx="87">
                  <c:v>74.5</c:v>
                </c:pt>
                <c:pt idx="88">
                  <c:v>64.5</c:v>
                </c:pt>
                <c:pt idx="89">
                  <c:v>70.375</c:v>
                </c:pt>
                <c:pt idx="90">
                  <c:v>67.900000000000006</c:v>
                </c:pt>
                <c:pt idx="91">
                  <c:v>56</c:v>
                </c:pt>
                <c:pt idx="92">
                  <c:v>61.666666666666664</c:v>
                </c:pt>
                <c:pt idx="93">
                  <c:v>67</c:v>
                </c:pt>
                <c:pt idx="94">
                  <c:v>58.25</c:v>
                </c:pt>
                <c:pt idx="95">
                  <c:v>48</c:v>
                </c:pt>
                <c:pt idx="96">
                  <c:v>60.714285714285715</c:v>
                </c:pt>
                <c:pt idx="97">
                  <c:v>69</c:v>
                </c:pt>
                <c:pt idx="98">
                  <c:v>48</c:v>
                </c:pt>
                <c:pt idx="99">
                  <c:v>60.0625</c:v>
                </c:pt>
                <c:pt idx="100">
                  <c:v>79.333333333333329</c:v>
                </c:pt>
                <c:pt idx="101">
                  <c:v>73.142857142857139</c:v>
                </c:pt>
                <c:pt idx="102">
                  <c:v>49.333333333333336</c:v>
                </c:pt>
                <c:pt idx="103">
                  <c:v>66.875</c:v>
                </c:pt>
                <c:pt idx="104">
                  <c:v>49</c:v>
                </c:pt>
                <c:pt idx="105">
                  <c:v>64.166666666666671</c:v>
                </c:pt>
                <c:pt idx="106">
                  <c:v>23</c:v>
                </c:pt>
                <c:pt idx="107">
                  <c:v>73.666666666666671</c:v>
                </c:pt>
                <c:pt idx="108">
                  <c:v>51</c:v>
                </c:pt>
                <c:pt idx="109">
                  <c:v>67.545454545454547</c:v>
                </c:pt>
                <c:pt idx="110">
                  <c:v>60</c:v>
                </c:pt>
                <c:pt idx="111">
                  <c:v>59</c:v>
                </c:pt>
                <c:pt idx="112">
                  <c:v>69.5</c:v>
                </c:pt>
                <c:pt idx="113">
                  <c:v>63</c:v>
                </c:pt>
                <c:pt idx="114">
                  <c:v>60</c:v>
                </c:pt>
                <c:pt idx="115">
                  <c:v>50</c:v>
                </c:pt>
                <c:pt idx="116">
                  <c:v>44</c:v>
                </c:pt>
                <c:pt idx="117">
                  <c:v>52</c:v>
                </c:pt>
                <c:pt idx="118">
                  <c:v>79</c:v>
                </c:pt>
                <c:pt idx="119">
                  <c:v>42</c:v>
                </c:pt>
                <c:pt idx="120">
                  <c:v>77</c:v>
                </c:pt>
                <c:pt idx="121">
                  <c:v>55.5</c:v>
                </c:pt>
                <c:pt idx="122">
                  <c:v>68</c:v>
                </c:pt>
                <c:pt idx="12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F1-4787-BF69-F232F988E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2"/>
        <c:axId val="1954838024"/>
        <c:axId val="1954840072"/>
      </c:barChart>
      <c:catAx>
        <c:axId val="1954838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840072"/>
        <c:crossesAt val="0"/>
        <c:auto val="1"/>
        <c:lblAlgn val="ctr"/>
        <c:lblOffset val="100"/>
        <c:noMultiLvlLbl val="0"/>
      </c:catAx>
      <c:valAx>
        <c:axId val="195484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838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_xlchart.v1.0</cx:f>
      </cx:numDim>
    </cx:data>
  </cx:chartData>
  <cx:chart>
    <cx:title pos="t" align="ctr" overlay="0">
      <cx:tx>
        <cx:txData>
          <cx:v>Stream Distribution</cx:v>
        </cx:txData>
      </cx:tx>
      <cx:spPr>
        <a:noFill/>
        <a:ln>
          <a:noFill/>
        </a:ln>
      </cx:spPr>
      <cx:txPr>
        <a:bodyPr vertOverflow="overflow" horzOverflow="overflow" wrap="square" lIns="0" tIns="0" rIns="0" bIns="0"/>
        <a:lstStyle/>
        <a:p>
          <a:pPr algn="ctr" rtl="0">
            <a:defRPr sz="1600" b="1" i="0">
              <a:solidFill>
                <a:srgbClr val="FFFFF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sz="1600" b="1">
              <a:solidFill>
                <a:srgbClr val="FFFFFF"/>
              </a:solidFill>
            </a:rPr>
            <a:t>Stream Distribution</a:t>
          </a:r>
        </a:p>
      </cx:txPr>
    </cx:title>
    <cx:plotArea>
      <cx:plotAreaRegion>
        <cx:series layoutId="clusteredColumn" uniqueId="{00000000-5535-4D06-956D-728054372746}">
          <cx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0" i="0" u="none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sz="800" b="0" u="none">
                  <a:solidFill>
                    <a:srgbClr val="000000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500000000"/>
            </cx:binning>
          </cx:layoutPr>
        </cx:series>
      </cx:plotAreaRegion>
      <cx:axis id="0">
        <cx:catScaling gapWidth="0.889999986"/>
        <cx:title>
          <cx:tx>
            <cx:txData>
              <cx:v>Streams</cx:v>
            </cx:txData>
          </cx:tx>
          <cx:spPr>
            <a:ln w="12700">
              <a:noFill/>
              <a:prstDash val="solid"/>
            </a:ln>
          </cx:spPr>
          <cx:txPr>
            <a:bodyPr vertOverflow="overflow" horzOverflow="overflow" wrap="square" lIns="0" tIns="0" rIns="0" bIns="0"/>
            <a:lstStyle/>
            <a:p>
              <a:pPr algn="ctr" rtl="0">
                <a:defRPr sz="1200" b="1" i="0">
                  <a:solidFill>
                    <a:srgbClr val="FFFFFF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sz="1200" b="1">
                  <a:solidFill>
                    <a:srgbClr val="FFFFFF"/>
                  </a:solidFill>
                  <a:latin typeface="Verdana" panose="020B0604030504040204" pitchFamily="34" charset="0"/>
                  <a:ea typeface="Verdana" panose="020B0604030504040204" pitchFamily="34" charset="0"/>
                </a:rPr>
                <a:t>Streams</a:t>
              </a:r>
            </a:p>
          </cx:txPr>
        </cx:title>
        <cx:majorGridlines/>
        <cx:minorGridlines/>
        <cx:tickLabels/>
        <cx:spPr>
          <a:ln w="12700">
            <a:solidFill>
              <a:srgbClr val="FFFFFF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rgbClr val="FFFFF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900" b="1">
              <a:solidFill>
                <a:srgbClr val="FFFFFF"/>
              </a:solidFill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spPr>
            <a:ln>
              <a:noFill/>
            </a:ln>
          </cx:spPr>
          <cx:txPr>
            <a:bodyPr vertOverflow="overflow" horzOverflow="overflow" wrap="square" lIns="0" tIns="0" rIns="0" bIns="0"/>
            <a:lstStyle/>
            <a:p>
              <a:pPr algn="ctr" rtl="0">
                <a:defRPr sz="1200" b="1" i="0" u="none">
                  <a:solidFill>
                    <a:srgbClr val="FFFFF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sz="1200" b="1" u="none">
                  <a:solidFill>
                    <a:srgbClr val="FFFFFF"/>
                  </a:solidFill>
                </a:rPr>
                <a:t>Frequency</a:t>
              </a:r>
            </a:p>
          </cx:txPr>
        </cx:title>
        <cx:majorGridlines/>
        <cx:minorGridlines/>
        <cx:tickLabels/>
        <cx:spPr>
          <a:ln w="12700">
            <a:solidFill>
              <a:srgbClr val="FFFFFF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1" i="0">
                <a:solidFill>
                  <a:srgbClr val="FFFFF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>
              <a:solidFill>
                <a:srgbClr val="FFFFFF"/>
              </a:solidFill>
            </a:endParaRPr>
          </a:p>
        </cx:txPr>
      </cx:axis>
    </cx:plotArea>
  </cx:chart>
  <cx:spPr>
    <a:solidFill>
      <a:srgbClr val="000000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15875</xdr:colOff>
      <xdr:row>31</xdr:row>
      <xdr:rowOff>171450</xdr:rowOff>
    </xdr:from>
    <xdr:to>
      <xdr:col>33</xdr:col>
      <xdr:colOff>396875</xdr:colOff>
      <xdr:row>63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2">
              <a:extLst>
                <a:ext uri="{FF2B5EF4-FFF2-40B4-BE49-F238E27FC236}">
                  <a16:creationId xmlns:a16="http://schemas.microsoft.com/office/drawing/2014/main" id="{48A1C07B-6131-0C6E-C202-A4F36A8F6AE4}"/>
                </a:ext>
                <a:ext uri="{147F2762-F138-4A5C-976F-8EAC2B608ADB}">
                  <a16:predDERef xmlns:a16="http://schemas.microsoft.com/office/drawing/2014/main" pred="{DBA95368-257D-3C63-9BA7-376B24960E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39</xdr:col>
      <xdr:colOff>523875</xdr:colOff>
      <xdr:row>0</xdr:row>
      <xdr:rowOff>0</xdr:rowOff>
    </xdr:from>
    <xdr:to>
      <xdr:col>52</xdr:col>
      <xdr:colOff>114300</xdr:colOff>
      <xdr:row>33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3FEB3A-B2A2-5E97-CF2B-462B699A0F32}"/>
            </a:ext>
            <a:ext uri="{147F2762-F138-4A5C-976F-8EAC2B608ADB}">
              <a16:predDERef xmlns:a16="http://schemas.microsoft.com/office/drawing/2014/main" pred="{48A1C07B-6131-0C6E-C202-A4F36A8F6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9</xdr:row>
      <xdr:rowOff>171450</xdr:rowOff>
    </xdr:from>
    <xdr:to>
      <xdr:col>33</xdr:col>
      <xdr:colOff>228600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768A9-C6C2-F52A-1B2D-11AFC5035291}"/>
            </a:ext>
            <a:ext uri="{147F2762-F138-4A5C-976F-8EAC2B608ADB}">
              <a16:predDERef xmlns:a16="http://schemas.microsoft.com/office/drawing/2014/main" pred="{803FEB3A-B2A2-5E97-CF2B-462B699A0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7.999999768515" createdVersion="8" refreshedVersion="8" minRefreshableVersion="3" recordCount="954" xr:uid="{92E1683D-7EAD-43AC-BC0F-4D1CCA6143AC}">
  <cacheSource type="worksheet">
    <worksheetSource name="Table1"/>
  </cacheSource>
  <cacheFields count="14">
    <cacheField name="track_name" numFmtId="0">
      <sharedItems containsDate="1" containsMixedTypes="1" minDate="1899-12-30T10:35:00" maxDate="1899-12-31T16:41:04"/>
    </cacheField>
    <cacheField name="artist(s)_name" numFmtId="0">
      <sharedItems containsBlank="1"/>
    </cacheField>
    <cacheField name="artist_count" numFmtId="0">
      <sharedItems containsString="0" containsBlank="1" containsNumber="1" containsInteger="1" minValue="1" maxValue="8"/>
    </cacheField>
    <cacheField name="released_year" numFmtId="0">
      <sharedItems containsString="0" containsBlank="1" containsNumber="1" containsInteger="1" minValue="1930" maxValue="2023" count="51">
        <n v="2023"/>
        <n v="2019"/>
        <n v="2022"/>
        <n v="2013"/>
        <n v="2014"/>
        <n v="2018"/>
        <n v="2017"/>
        <n v="2020"/>
        <n v="2016"/>
        <n v="2012"/>
        <n v="1999"/>
        <n v="2008"/>
        <n v="1975"/>
        <n v="2021"/>
        <n v="2015"/>
        <n v="2011"/>
        <n v="2004"/>
        <n v="1985"/>
        <n v="2007"/>
        <n v="2002"/>
        <n v="2010"/>
        <n v="1983"/>
        <n v="1992"/>
        <n v="1968"/>
        <n v="1984"/>
        <n v="2000"/>
        <n v="1997"/>
        <n v="1995"/>
        <n v="2003"/>
        <n v="1973"/>
        <n v="1930"/>
        <n v="1994"/>
        <n v="1958"/>
        <n v="1957"/>
        <n v="1963"/>
        <n v="1959"/>
        <n v="1970"/>
        <n v="1971"/>
        <n v="1952"/>
        <n v="1946"/>
        <n v="1979"/>
        <n v="1950"/>
        <n v="1942"/>
        <n v="1986"/>
        <n v="2005"/>
        <n v="1991"/>
        <n v="1996"/>
        <n v="1998"/>
        <n v="1982"/>
        <n v="1987"/>
        <m/>
      </sharedItems>
    </cacheField>
    <cacheField name="released_month" numFmtId="0">
      <sharedItems containsString="0" containsBlank="1" containsNumber="1" containsInteger="1" minValue="1" maxValue="12"/>
    </cacheField>
    <cacheField name="released_day" numFmtId="0">
      <sharedItems containsString="0" containsBlank="1" containsNumber="1" containsInteger="1" minValue="1" maxValue="31"/>
    </cacheField>
    <cacheField name="in_spotify_playlists" numFmtId="0">
      <sharedItems containsString="0" containsBlank="1" containsNumber="1" containsInteger="1" minValue="31" maxValue="52898"/>
    </cacheField>
    <cacheField name="in_spotify_charts" numFmtId="0">
      <sharedItems containsString="0" containsBlank="1" containsNumber="1" containsInteger="1" minValue="0" maxValue="147"/>
    </cacheField>
    <cacheField name="streams" numFmtId="0">
      <sharedItems containsBlank="1" containsMixedTypes="1" containsNumber="1" containsInteger="1" minValue="2762" maxValue="3703895074"/>
    </cacheField>
    <cacheField name="in_apple_playlists" numFmtId="0">
      <sharedItems containsString="0" containsBlank="1" containsNumber="1" containsInteger="1" minValue="0" maxValue="672"/>
    </cacheField>
    <cacheField name="in_apple_charts" numFmtId="0">
      <sharedItems containsString="0" containsBlank="1" containsNumber="1" containsInteger="1" minValue="0" maxValue="275"/>
    </cacheField>
    <cacheField name="bpm" numFmtId="0">
      <sharedItems containsString="0" containsBlank="1" containsNumber="1" containsInteger="1" minValue="65" maxValue="206" count="125">
        <n v="125"/>
        <n v="92"/>
        <n v="138"/>
        <n v="170"/>
        <n v="144"/>
        <n v="141"/>
        <n v="148"/>
        <n v="100"/>
        <n v="130"/>
        <n v="83"/>
        <n v="150"/>
        <n v="118"/>
        <n v="174"/>
        <n v="89"/>
        <n v="120"/>
        <n v="78"/>
        <n v="140"/>
        <n v="123"/>
        <n v="135"/>
        <n v="133"/>
        <n v="99"/>
        <n v="107"/>
        <n v="122"/>
        <n v="204"/>
        <n v="110"/>
        <n v="126"/>
        <n v="168"/>
        <n v="98"/>
        <n v="97"/>
        <n v="180"/>
        <n v="96"/>
        <n v="95"/>
        <n v="90"/>
        <n v="128"/>
        <n v="79"/>
        <n v="134"/>
        <n v="186"/>
        <n v="67"/>
        <n v="106"/>
        <n v="171"/>
        <n v="137"/>
        <n v="101"/>
        <n v="173"/>
        <n v="198"/>
        <n v="82"/>
        <n v="81"/>
        <n v="94"/>
        <n v="124"/>
        <n v="132"/>
        <n v="131"/>
        <n v="102"/>
        <n v="142"/>
        <n v="116"/>
        <n v="129"/>
        <n v="172"/>
        <n v="136"/>
        <n v="88"/>
        <n v="143"/>
        <n v="112"/>
        <n v="93"/>
        <n v="206"/>
        <n v="84"/>
        <n v="158"/>
        <n v="117"/>
        <n v="114"/>
        <n v="108"/>
        <n v="121"/>
        <n v="127"/>
        <n v="139"/>
        <n v="162"/>
        <n v="146"/>
        <n v="115"/>
        <n v="119"/>
        <n v="80"/>
        <n v="160"/>
        <n v="192"/>
        <n v="163"/>
        <n v="154"/>
        <n v="104"/>
        <n v="164"/>
        <n v="145"/>
        <n v="85"/>
        <n v="166"/>
        <n v="109"/>
        <n v="157"/>
        <n v="74"/>
        <n v="105"/>
        <n v="155"/>
        <n v="149"/>
        <n v="169"/>
        <n v="91"/>
        <n v="202"/>
        <n v="153"/>
        <n v="178"/>
        <n v="176"/>
        <n v="111"/>
        <n v="182"/>
        <n v="175"/>
        <n v="87"/>
        <n v="76"/>
        <n v="113"/>
        <n v="77"/>
        <n v="177"/>
        <n v="147"/>
        <n v="75"/>
        <n v="103"/>
        <n v="151"/>
        <n v="152"/>
        <n v="65"/>
        <n v="179"/>
        <n v="86"/>
        <n v="73"/>
        <n v="181"/>
        <n v="161"/>
        <n v="72"/>
        <n v="184"/>
        <n v="71"/>
        <n v="189"/>
        <n v="200"/>
        <n v="196"/>
        <n v="188"/>
        <n v="156"/>
        <n v="183"/>
        <n v="165"/>
        <m/>
      </sharedItems>
    </cacheField>
    <cacheField name="danceability_%" numFmtId="0">
      <sharedItems containsString="0" containsBlank="1" containsNumber="1" containsInteger="1" minValue="23" maxValue="96"/>
    </cacheField>
    <cacheField name="energy_%" numFmtId="0">
      <sharedItems containsString="0" containsBlank="1" containsNumber="1" containsInteger="1" minValue="9" maxValue="97" count="81">
        <n v="83"/>
        <n v="74"/>
        <n v="53"/>
        <n v="72"/>
        <n v="80"/>
        <n v="58"/>
        <n v="76"/>
        <n v="71"/>
        <n v="62"/>
        <n v="48"/>
        <n v="82"/>
        <n v="68"/>
        <n v="43"/>
        <n v="73"/>
        <n v="59"/>
        <n v="9"/>
        <n v="66"/>
        <n v="42"/>
        <n v="67"/>
        <n v="86"/>
        <n v="85"/>
        <n v="84"/>
        <n v="87"/>
        <n v="61"/>
        <n v="63"/>
        <n v="79"/>
        <n v="65"/>
        <n v="50"/>
        <n v="97"/>
        <n v="56"/>
        <n v="64"/>
        <n v="81"/>
        <n v="52"/>
        <n v="91"/>
        <n v="70"/>
        <n v="88"/>
        <n v="54"/>
        <n v="96"/>
        <n v="89"/>
        <n v="78"/>
        <n v="47"/>
        <n v="57"/>
        <n v="34"/>
        <n v="41"/>
        <n v="60"/>
        <n v="44"/>
        <n v="35"/>
        <n v="55"/>
        <n v="90"/>
        <n v="40"/>
        <n v="69"/>
        <n v="93"/>
        <n v="30"/>
        <n v="77"/>
        <n v="45"/>
        <n v="92"/>
        <n v="37"/>
        <n v="27"/>
        <n v="94"/>
        <n v="75"/>
        <n v="39"/>
        <n v="51"/>
        <n v="32"/>
        <n v="33"/>
        <n v="46"/>
        <n v="38"/>
        <n v="14"/>
        <n v="31"/>
        <n v="28"/>
        <n v="36"/>
        <n v="25"/>
        <n v="95"/>
        <n v="49"/>
        <n v="23"/>
        <n v="24"/>
        <n v="26"/>
        <n v="15"/>
        <n v="20"/>
        <n v="29"/>
        <n v="1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4">
  <r>
    <s v="Seven (feat. Latto) (Explicit Ver.)"/>
    <s v="Latto, Jung Kook"/>
    <n v="2"/>
    <x v="0"/>
    <n v="7"/>
    <n v="14"/>
    <n v="553"/>
    <n v="147"/>
    <n v="141381703"/>
    <n v="43"/>
    <n v="263"/>
    <x v="0"/>
    <n v="80"/>
    <x v="0"/>
  </r>
  <r>
    <s v="LALA"/>
    <s v="Myke Towers"/>
    <n v="1"/>
    <x v="0"/>
    <n v="3"/>
    <n v="23"/>
    <n v="1474"/>
    <n v="48"/>
    <n v="133716286"/>
    <n v="48"/>
    <n v="126"/>
    <x v="1"/>
    <n v="71"/>
    <x v="1"/>
  </r>
  <r>
    <s v="vampire"/>
    <s v="Olivia Rodrigo"/>
    <n v="1"/>
    <x v="0"/>
    <n v="6"/>
    <n v="30"/>
    <n v="1397"/>
    <n v="113"/>
    <n v="140003974"/>
    <n v="94"/>
    <n v="207"/>
    <x v="2"/>
    <n v="51"/>
    <x v="2"/>
  </r>
  <r>
    <s v="Cruel Summer"/>
    <s v="Taylor Swift"/>
    <n v="1"/>
    <x v="1"/>
    <n v="8"/>
    <n v="23"/>
    <n v="7858"/>
    <n v="100"/>
    <n v="800840817"/>
    <n v="116"/>
    <n v="207"/>
    <x v="3"/>
    <n v="55"/>
    <x v="3"/>
  </r>
  <r>
    <s v="WHERE SHE GOES"/>
    <s v="Bad Bunny"/>
    <n v="1"/>
    <x v="0"/>
    <n v="5"/>
    <n v="18"/>
    <n v="3133"/>
    <n v="50"/>
    <n v="303236322"/>
    <n v="84"/>
    <n v="133"/>
    <x v="4"/>
    <n v="65"/>
    <x v="4"/>
  </r>
  <r>
    <s v="Sprinter"/>
    <s v="Dave, Central Cee"/>
    <n v="2"/>
    <x v="0"/>
    <n v="6"/>
    <n v="1"/>
    <n v="2186"/>
    <n v="91"/>
    <n v="183706234"/>
    <n v="67"/>
    <n v="213"/>
    <x v="5"/>
    <n v="92"/>
    <x v="5"/>
  </r>
  <r>
    <s v="Ella Baila Sola"/>
    <s v="Eslabon Armado, Peso Pluma"/>
    <n v="2"/>
    <x v="0"/>
    <n v="3"/>
    <n v="16"/>
    <n v="3090"/>
    <n v="50"/>
    <n v="725980112"/>
    <n v="34"/>
    <n v="222"/>
    <x v="6"/>
    <n v="67"/>
    <x v="6"/>
  </r>
  <r>
    <s v="Columbia"/>
    <s v="Quevedo"/>
    <n v="1"/>
    <x v="0"/>
    <n v="7"/>
    <n v="7"/>
    <n v="714"/>
    <n v="43"/>
    <n v="58149378"/>
    <n v="25"/>
    <n v="89"/>
    <x v="7"/>
    <n v="67"/>
    <x v="7"/>
  </r>
  <r>
    <s v="fukumean"/>
    <s v="Gunna"/>
    <n v="1"/>
    <x v="0"/>
    <n v="5"/>
    <n v="15"/>
    <n v="1096"/>
    <n v="83"/>
    <n v="95217315"/>
    <n v="60"/>
    <n v="210"/>
    <x v="8"/>
    <n v="85"/>
    <x v="8"/>
  </r>
  <r>
    <s v="La Bebe - Remix"/>
    <s v="Peso Pluma, Yng Lvcas"/>
    <n v="2"/>
    <x v="0"/>
    <n v="3"/>
    <n v="17"/>
    <n v="2953"/>
    <n v="44"/>
    <n v="553634067"/>
    <n v="49"/>
    <n v="110"/>
    <x v="3"/>
    <n v="81"/>
    <x v="9"/>
  </r>
  <r>
    <s v="un x100to"/>
    <s v="Bad Bunny, Grupo Frontera"/>
    <n v="2"/>
    <x v="0"/>
    <n v="4"/>
    <n v="17"/>
    <n v="2876"/>
    <n v="40"/>
    <n v="505671438"/>
    <n v="41"/>
    <n v="205"/>
    <x v="9"/>
    <n v="57"/>
    <x v="3"/>
  </r>
  <r>
    <s v="Super Shy"/>
    <s v="NewJeans"/>
    <n v="1"/>
    <x v="0"/>
    <n v="7"/>
    <n v="7"/>
    <n v="422"/>
    <n v="55"/>
    <n v="58255150"/>
    <n v="37"/>
    <n v="202"/>
    <x v="10"/>
    <n v="78"/>
    <x v="10"/>
  </r>
  <r>
    <s v="Flowers"/>
    <s v="Miley Cyrus"/>
    <n v="1"/>
    <x v="0"/>
    <n v="1"/>
    <n v="12"/>
    <n v="12211"/>
    <n v="115"/>
    <n v="1316855716"/>
    <n v="300"/>
    <n v="215"/>
    <x v="11"/>
    <n v="71"/>
    <x v="11"/>
  </r>
  <r>
    <s v="Daylight"/>
    <s v="David Kushner"/>
    <n v="1"/>
    <x v="0"/>
    <n v="4"/>
    <n v="14"/>
    <n v="3528"/>
    <n v="98"/>
    <n v="387570742"/>
    <n v="80"/>
    <n v="156"/>
    <x v="8"/>
    <n v="51"/>
    <x v="12"/>
  </r>
  <r>
    <s v="As It Was"/>
    <s v="Harry Styles"/>
    <n v="1"/>
    <x v="2"/>
    <n v="3"/>
    <n v="31"/>
    <n v="23575"/>
    <n v="130"/>
    <n v="2513188493"/>
    <n v="403"/>
    <n v="198"/>
    <x v="12"/>
    <n v="52"/>
    <x v="13"/>
  </r>
  <r>
    <s v="Kill Bill"/>
    <s v="SZA"/>
    <n v="1"/>
    <x v="2"/>
    <n v="12"/>
    <n v="8"/>
    <n v="8109"/>
    <n v="77"/>
    <n v="1163093654"/>
    <n v="183"/>
    <n v="162"/>
    <x v="13"/>
    <n v="64"/>
    <x v="13"/>
  </r>
  <r>
    <s v="Cupid - Twin Ver."/>
    <s v="Fifty Fifty"/>
    <n v="1"/>
    <x v="0"/>
    <n v="2"/>
    <n v="24"/>
    <n v="2942"/>
    <n v="77"/>
    <n v="496795686"/>
    <n v="91"/>
    <n v="212"/>
    <x v="14"/>
    <n v="78"/>
    <x v="14"/>
  </r>
  <r>
    <s v="What Was I Made For? [From The Motion Picture &quot;Barbie&quot;]"/>
    <s v="Billie Eilish"/>
    <n v="1"/>
    <x v="0"/>
    <n v="7"/>
    <n v="13"/>
    <n v="873"/>
    <n v="104"/>
    <n v="30546883"/>
    <n v="80"/>
    <n v="227"/>
    <x v="15"/>
    <n v="44"/>
    <x v="15"/>
  </r>
  <r>
    <s v="Classy 101"/>
    <s v="Feid, Young Miko"/>
    <n v="2"/>
    <x v="0"/>
    <n v="3"/>
    <n v="31"/>
    <n v="2610"/>
    <n v="40"/>
    <n v="335222234"/>
    <n v="43"/>
    <n v="100"/>
    <x v="7"/>
    <n v="86"/>
    <x v="16"/>
  </r>
  <r>
    <s v="Like Crazy"/>
    <s v="Jimin"/>
    <n v="1"/>
    <x v="0"/>
    <n v="3"/>
    <n v="24"/>
    <n v="596"/>
    <n v="68"/>
    <n v="363369738"/>
    <n v="8"/>
    <n v="104"/>
    <x v="14"/>
    <n v="63"/>
    <x v="13"/>
  </r>
  <r>
    <s v="LADY GAGA"/>
    <s v="Gabito Ballesteros, Junior H, Peso Pluma"/>
    <n v="3"/>
    <x v="0"/>
    <n v="6"/>
    <n v="22"/>
    <n v="332"/>
    <n v="26"/>
    <n v="86444842"/>
    <n v="11"/>
    <n v="163"/>
    <x v="16"/>
    <n v="65"/>
    <x v="1"/>
  </r>
  <r>
    <s v="I Can See You (Taylor's Version) (From The "/>
    <s v="Taylor Swift"/>
    <n v="1"/>
    <x v="0"/>
    <n v="7"/>
    <n v="7"/>
    <n v="516"/>
    <n v="38"/>
    <n v="52135248"/>
    <n v="73"/>
    <n v="119"/>
    <x v="17"/>
    <n v="69"/>
    <x v="6"/>
  </r>
  <r>
    <s v="I Wanna Be Yours"/>
    <s v="Arctic Monkeys"/>
    <n v="1"/>
    <x v="3"/>
    <n v="1"/>
    <n v="1"/>
    <n v="12859"/>
    <n v="110"/>
    <n v="1297026226"/>
    <n v="24"/>
    <n v="98"/>
    <x v="18"/>
    <n v="48"/>
    <x v="17"/>
  </r>
  <r>
    <s v="Peso Pluma: Bzrp Music Sessions, Vol. 55"/>
    <s v="Bizarrap, Peso Pluma"/>
    <n v="2"/>
    <x v="0"/>
    <n v="5"/>
    <n v="31"/>
    <n v="1313"/>
    <n v="40"/>
    <n v="200647221"/>
    <n v="17"/>
    <n v="152"/>
    <x v="19"/>
    <n v="85"/>
    <x v="18"/>
  </r>
  <r>
    <s v="Popular (with Playboi Carti &amp; Madonna) - The Idol Vol. 1 (Music from the HBO Original Series)"/>
    <s v="The Weeknd, Madonna, Playboi Carti"/>
    <n v="3"/>
    <x v="0"/>
    <n v="6"/>
    <n v="2"/>
    <n v="1945"/>
    <n v="87"/>
    <n v="115364561"/>
    <n v="74"/>
    <n v="182"/>
    <x v="20"/>
    <n v="85"/>
    <x v="11"/>
  </r>
  <r>
    <s v="SABOR FRESA"/>
    <s v="Fuerza Regida"/>
    <n v="1"/>
    <x v="0"/>
    <n v="6"/>
    <n v="22"/>
    <n v="250"/>
    <n v="26"/>
    <n v="78300654"/>
    <n v="16"/>
    <n v="149"/>
    <x v="8"/>
    <n v="79"/>
    <x v="19"/>
  </r>
  <r>
    <s v="Calm Down (with Selena Gomez)"/>
    <s v="R'ma, Selena G"/>
    <n v="2"/>
    <x v="2"/>
    <n v="3"/>
    <n v="25"/>
    <n v="7112"/>
    <n v="77"/>
    <n v="899183384"/>
    <n v="202"/>
    <n v="119"/>
    <x v="21"/>
    <n v="80"/>
    <x v="4"/>
  </r>
  <r>
    <s v="MOJABI GHOST"/>
    <s v="Tainy, Bad Bunny"/>
    <n v="2"/>
    <x v="0"/>
    <n v="6"/>
    <n v="29"/>
    <n v="859"/>
    <n v="40"/>
    <n v="61245289"/>
    <n v="35"/>
    <n v="109"/>
    <x v="22"/>
    <n v="81"/>
    <x v="7"/>
  </r>
  <r>
    <s v="Last Night"/>
    <s v="Morgan Wallen"/>
    <n v="1"/>
    <x v="0"/>
    <n v="1"/>
    <n v="31"/>
    <n v="2420"/>
    <n v="19"/>
    <n v="429829812"/>
    <n v="52"/>
    <n v="107"/>
    <x v="23"/>
    <n v="52"/>
    <x v="11"/>
  </r>
  <r>
    <s v="Dance The Night (From Barbie The Album)"/>
    <s v="Dua Lipa"/>
    <n v="1"/>
    <x v="0"/>
    <n v="5"/>
    <n v="25"/>
    <n v="2988"/>
    <n v="101"/>
    <n v="127408954"/>
    <n v="0"/>
    <n v="0"/>
    <x v="24"/>
    <n v="67"/>
    <x v="20"/>
  </r>
  <r>
    <s v="Rush"/>
    <s v="Troye Sivan"/>
    <n v="1"/>
    <x v="0"/>
    <n v="7"/>
    <n v="13"/>
    <n v="864"/>
    <n v="78"/>
    <n v="22581161"/>
    <n v="71"/>
    <n v="135"/>
    <x v="25"/>
    <n v="74"/>
    <x v="21"/>
  </r>
  <r>
    <s v="TULUM"/>
    <s v="Peso Pluma, Grupo Frontera"/>
    <n v="2"/>
    <x v="0"/>
    <n v="6"/>
    <n v="28"/>
    <n v="266"/>
    <n v="34"/>
    <n v="52294266"/>
    <n v="20"/>
    <n v="185"/>
    <x v="26"/>
    <n v="56"/>
    <x v="22"/>
  </r>
  <r>
    <s v="Creepin'"/>
    <s v="The Weeknd, 21 Savage, Metro Boomin"/>
    <n v="3"/>
    <x v="2"/>
    <n v="12"/>
    <n v="2"/>
    <n v="6036"/>
    <n v="88"/>
    <n v="843957510"/>
    <n v="113"/>
    <n v="149"/>
    <x v="27"/>
    <n v="71"/>
    <x v="23"/>
  </r>
  <r>
    <s v="Anti-Hero"/>
    <s v="Taylor Swift"/>
    <n v="1"/>
    <x v="2"/>
    <n v="10"/>
    <n v="21"/>
    <n v="9082"/>
    <n v="56"/>
    <n v="999748277"/>
    <n v="242"/>
    <n v="142"/>
    <x v="28"/>
    <n v="64"/>
    <x v="24"/>
  </r>
  <r>
    <s v="TQG"/>
    <s v="Karol G, Shakira"/>
    <n v="2"/>
    <x v="0"/>
    <n v="2"/>
    <n v="23"/>
    <n v="4284"/>
    <n v="49"/>
    <n v="618990393"/>
    <n v="115"/>
    <n v="123"/>
    <x v="29"/>
    <n v="72"/>
    <x v="24"/>
  </r>
  <r>
    <s v="Los del Espacio"/>
    <s v="Big One, Duki, Lit Killah, Maria Becerra, FMK, Rusherking, Emilia, Tiago pzk"/>
    <n v="8"/>
    <x v="0"/>
    <n v="6"/>
    <n v="1"/>
    <n v="1150"/>
    <n v="31"/>
    <n v="123122413"/>
    <n v="22"/>
    <n v="33"/>
    <x v="14"/>
    <n v="81"/>
    <x v="11"/>
  </r>
  <r>
    <s v="Fr'gil (feat. Grupo Front"/>
    <s v="Yahritza Y Su Esencia, Grupo Frontera"/>
    <n v="2"/>
    <x v="0"/>
    <n v="4"/>
    <n v="7"/>
    <n v="672"/>
    <n v="34"/>
    <n v="188933502"/>
    <n v="19"/>
    <n v="108"/>
    <x v="10"/>
    <n v="61"/>
    <x v="13"/>
  </r>
  <r>
    <s v="Blank Space"/>
    <s v="Taylor Swift"/>
    <n v="1"/>
    <x v="4"/>
    <n v="1"/>
    <n v="1"/>
    <n v="11434"/>
    <n v="53"/>
    <n v="1355959075"/>
    <n v="154"/>
    <n v="123"/>
    <x v="30"/>
    <n v="75"/>
    <x v="11"/>
  </r>
  <r>
    <s v="Style"/>
    <s v="Taylor Swift"/>
    <n v="1"/>
    <x v="4"/>
    <n v="1"/>
    <n v="1"/>
    <n v="7830"/>
    <n v="42"/>
    <n v="786181836"/>
    <n v="94"/>
    <n v="111"/>
    <x v="31"/>
    <n v="60"/>
    <x v="25"/>
  </r>
  <r>
    <s v="TQM"/>
    <s v="Fuerza Regida"/>
    <n v="1"/>
    <x v="0"/>
    <n v="5"/>
    <n v="19"/>
    <n v="584"/>
    <n v="28"/>
    <n v="176553476"/>
    <n v="16"/>
    <n v="159"/>
    <x v="0"/>
    <n v="79"/>
    <x v="20"/>
  </r>
  <r>
    <s v="El Azul"/>
    <s v="Junior H, Peso Pluma"/>
    <n v="2"/>
    <x v="0"/>
    <n v="2"/>
    <n v="10"/>
    <n v="692"/>
    <n v="25"/>
    <n v="354495408"/>
    <n v="10"/>
    <n v="107"/>
    <x v="4"/>
    <n v="56"/>
    <x v="26"/>
  </r>
  <r>
    <s v="Sunflower - Spider-Man: Into the Spider-Verse"/>
    <s v="Post Malone, Swae Lee"/>
    <n v="2"/>
    <x v="5"/>
    <n v="10"/>
    <n v="9"/>
    <n v="24094"/>
    <n v="78"/>
    <n v="2808096550"/>
    <n v="372"/>
    <n v="117"/>
    <x v="32"/>
    <n v="76"/>
    <x v="27"/>
  </r>
  <r>
    <s v="I'm Good (Blue)"/>
    <s v="Bebe Rexha, David Guetta"/>
    <n v="2"/>
    <x v="2"/>
    <n v="8"/>
    <n v="26"/>
    <n v="12482"/>
    <n v="80"/>
    <n v="1109433169"/>
    <n v="291"/>
    <n v="184"/>
    <x v="33"/>
    <n v="56"/>
    <x v="28"/>
  </r>
  <r>
    <s v="See You Again"/>
    <s v="Tyler, The Creator, Kali Uchis"/>
    <n v="3"/>
    <x v="6"/>
    <n v="7"/>
    <n v="21"/>
    <n v="13387"/>
    <n v="64"/>
    <n v="1047101291"/>
    <n v="77"/>
    <n v="58"/>
    <x v="34"/>
    <n v="56"/>
    <x v="29"/>
  </r>
  <r>
    <s v="Barbie World (with Aqua) [From Barbie The Album]"/>
    <s v="Nicki Minaj, Aqua, Ice Spice"/>
    <n v="3"/>
    <x v="0"/>
    <n v="6"/>
    <n v="23"/>
    <n v="1117"/>
    <n v="80"/>
    <n v="65156199"/>
    <n v="82"/>
    <n v="145"/>
    <x v="4"/>
    <n v="77"/>
    <x v="5"/>
  </r>
  <r>
    <s v="Angels Like You"/>
    <s v="Miley Cyrus"/>
    <n v="1"/>
    <x v="7"/>
    <n v="11"/>
    <n v="27"/>
    <n v="3372"/>
    <n v="19"/>
    <n v="570515054"/>
    <n v="65"/>
    <n v="48"/>
    <x v="22"/>
    <n v="67"/>
    <x v="30"/>
  </r>
  <r>
    <s v="I Ain't Worried"/>
    <s v="OneRepublic"/>
    <n v="1"/>
    <x v="2"/>
    <n v="5"/>
    <n v="13"/>
    <n v="8431"/>
    <n v="76"/>
    <n v="1085685420"/>
    <n v="241"/>
    <n v="127"/>
    <x v="16"/>
    <n v="71"/>
    <x v="31"/>
  </r>
  <r>
    <s v="Die For You"/>
    <s v="The Weeknd"/>
    <n v="1"/>
    <x v="8"/>
    <n v="11"/>
    <n v="24"/>
    <n v="2483"/>
    <n v="59"/>
    <n v="1647990401"/>
    <n v="68"/>
    <n v="21"/>
    <x v="35"/>
    <n v="59"/>
    <x v="32"/>
  </r>
  <r>
    <s v="Starboy"/>
    <s v="The Weeknd, Daft Punk"/>
    <n v="2"/>
    <x v="8"/>
    <n v="9"/>
    <n v="21"/>
    <n v="29536"/>
    <n v="79"/>
    <n v="2565529693"/>
    <n v="281"/>
    <n v="137"/>
    <x v="36"/>
    <n v="68"/>
    <x v="14"/>
  </r>
  <r>
    <s v="Die For You - Remix"/>
    <s v="Ariana Grande, The Weeknd"/>
    <n v="2"/>
    <x v="0"/>
    <n v="2"/>
    <n v="24"/>
    <n v="3408"/>
    <n v="47"/>
    <n v="518745108"/>
    <n v="87"/>
    <n v="86"/>
    <x v="37"/>
    <n v="53"/>
    <x v="2"/>
  </r>
  <r>
    <s v="El Cielo"/>
    <s v="Feid, Myke Towers, Sky Rompiendo"/>
    <n v="3"/>
    <x v="0"/>
    <n v="6"/>
    <n v="2"/>
    <n v="1298"/>
    <n v="38"/>
    <n v="107753850"/>
    <n v="44"/>
    <n v="64"/>
    <x v="38"/>
    <n v="72"/>
    <x v="30"/>
  </r>
  <r>
    <s v="Baby Don't Hurt Me"/>
    <s v="David Guetta, Anne-Marie, Coi Leray"/>
    <n v="3"/>
    <x v="0"/>
    <n v="4"/>
    <n v="6"/>
    <n v="4277"/>
    <n v="66"/>
    <n v="177740666"/>
    <n v="145"/>
    <n v="111"/>
    <x v="33"/>
    <n v="60"/>
    <x v="33"/>
  </r>
  <r>
    <s v="AMARGURA"/>
    <s v="Karol G"/>
    <n v="1"/>
    <x v="0"/>
    <n v="2"/>
    <n v="24"/>
    <n v="1133"/>
    <n v="39"/>
    <n v="153372011"/>
    <n v="14"/>
    <n v="71"/>
    <x v="21"/>
    <n v="92"/>
    <x v="34"/>
  </r>
  <r>
    <s v="(It Goes Like) Nanana - Edit"/>
    <s v="Peggy Gou"/>
    <n v="1"/>
    <x v="0"/>
    <n v="6"/>
    <n v="15"/>
    <n v="2259"/>
    <n v="59"/>
    <n v="57876440"/>
    <n v="0"/>
    <n v="0"/>
    <x v="8"/>
    <n v="67"/>
    <x v="35"/>
  </r>
  <r>
    <s v="Another Love"/>
    <s v="Tom Odell"/>
    <n v="1"/>
    <x v="9"/>
    <n v="10"/>
    <n v="15"/>
    <n v="18371"/>
    <n v="83"/>
    <n v="1813673666"/>
    <n v="250"/>
    <n v="122"/>
    <x v="17"/>
    <n v="45"/>
    <x v="36"/>
  </r>
  <r>
    <s v="Blinding Lights"/>
    <s v="The Weeknd"/>
    <n v="1"/>
    <x v="1"/>
    <n v="11"/>
    <n v="29"/>
    <n v="43899"/>
    <n v="69"/>
    <n v="3703895074"/>
    <n v="672"/>
    <n v="199"/>
    <x v="39"/>
    <n v="50"/>
    <x v="4"/>
  </r>
  <r>
    <s v="Moonlight"/>
    <s v="Kali Uchis"/>
    <n v="1"/>
    <x v="0"/>
    <n v="2"/>
    <n v="24"/>
    <n v="2649"/>
    <n v="42"/>
    <n v="256483385"/>
    <n v="67"/>
    <n v="79"/>
    <x v="40"/>
    <n v="64"/>
    <x v="3"/>
  </r>
  <r>
    <s v="La Bachata"/>
    <s v="Manuel Turizo"/>
    <n v="1"/>
    <x v="2"/>
    <n v="5"/>
    <n v="26"/>
    <n v="6804"/>
    <n v="45"/>
    <n v="1214083358"/>
    <n v="139"/>
    <n v="111"/>
    <x v="0"/>
    <n v="84"/>
    <x v="11"/>
  </r>
  <r>
    <s v="S91"/>
    <s v="Karol G"/>
    <n v="1"/>
    <x v="0"/>
    <n v="7"/>
    <n v="14"/>
    <n v="525"/>
    <n v="41"/>
    <n v="16011326"/>
    <n v="34"/>
    <n v="115"/>
    <x v="33"/>
    <n v="86"/>
    <x v="3"/>
  </r>
  <r>
    <s v="cardigan"/>
    <s v="Taylor Swift"/>
    <n v="1"/>
    <x v="7"/>
    <n v="7"/>
    <n v="24"/>
    <n v="7923"/>
    <n v="29"/>
    <n v="812019557"/>
    <n v="106"/>
    <n v="112"/>
    <x v="8"/>
    <n v="61"/>
    <x v="5"/>
  </r>
  <r>
    <s v="Te½e"/>
    <s v="dennis, MC Kevin o Chris"/>
    <n v="2"/>
    <x v="0"/>
    <n v="5"/>
    <n v="4"/>
    <n v="731"/>
    <n v="15"/>
    <n v="111947664"/>
    <n v="27"/>
    <n v="17"/>
    <x v="8"/>
    <n v="86"/>
    <x v="37"/>
  </r>
  <r>
    <s v="Boy's a liar Pt. 2"/>
    <s v="PinkPantheress, Ice Spice"/>
    <n v="2"/>
    <x v="0"/>
    <n v="2"/>
    <n v="3"/>
    <n v="5184"/>
    <n v="41"/>
    <n v="156338624"/>
    <n v="154"/>
    <n v="84"/>
    <x v="19"/>
    <n v="70"/>
    <x v="31"/>
  </r>
  <r>
    <s v="Left and Right (Feat. Jung Kook of BTS)"/>
    <s v="Charlie Puth, BTS, Jung Kook"/>
    <n v="3"/>
    <x v="2"/>
    <n v="6"/>
    <n v="24"/>
    <n v="3107"/>
    <n v="39"/>
    <n v="720434240"/>
    <n v="38"/>
    <n v="0"/>
    <x v="41"/>
    <n v="88"/>
    <x v="14"/>
  </r>
  <r>
    <s v="BESO"/>
    <s v="Rauw Alejandro, ROSALIA"/>
    <n v="2"/>
    <x v="0"/>
    <n v="3"/>
    <n v="24"/>
    <n v="4053"/>
    <n v="50"/>
    <n v="357925728"/>
    <n v="82"/>
    <n v="121"/>
    <x v="31"/>
    <n v="77"/>
    <x v="30"/>
  </r>
  <r>
    <s v="Hey Mor"/>
    <s v="Ozuna, Feid"/>
    <n v="2"/>
    <x v="2"/>
    <n v="10"/>
    <n v="6"/>
    <n v="4637"/>
    <n v="38"/>
    <n v="674072710"/>
    <n v="63"/>
    <n v="79"/>
    <x v="27"/>
    <n v="90"/>
    <x v="14"/>
  </r>
  <r>
    <s v="Yellow"/>
    <s v="Chris Molitor"/>
    <n v="1"/>
    <x v="10"/>
    <n v="1"/>
    <n v="1"/>
    <n v="31358"/>
    <n v="43"/>
    <n v="1755214421"/>
    <n v="196"/>
    <n v="2"/>
    <x v="42"/>
    <n v="43"/>
    <x v="16"/>
  </r>
  <r>
    <s v="Karma"/>
    <s v="Taylor Swift"/>
    <n v="1"/>
    <x v="2"/>
    <n v="10"/>
    <n v="21"/>
    <n v="3818"/>
    <n v="23"/>
    <n v="404562836"/>
    <n v="37"/>
    <n v="55"/>
    <x v="32"/>
    <n v="64"/>
    <x v="8"/>
  </r>
  <r>
    <s v="People"/>
    <s v="Libianca"/>
    <n v="1"/>
    <x v="2"/>
    <n v="12"/>
    <n v="2"/>
    <n v="3506"/>
    <n v="56"/>
    <n v="373199958"/>
    <n v="105"/>
    <n v="64"/>
    <x v="43"/>
    <n v="59"/>
    <x v="17"/>
  </r>
  <r>
    <s v="Overdrive"/>
    <s v="Post Malone"/>
    <n v="1"/>
    <x v="0"/>
    <n v="7"/>
    <n v="14"/>
    <n v="410"/>
    <n v="36"/>
    <n v="14780425"/>
    <n v="36"/>
    <n v="32"/>
    <x v="16"/>
    <n v="56"/>
    <x v="13"/>
  </r>
  <r>
    <s v="Enchanted (Taylor's Version)"/>
    <s v="Taylor Swift"/>
    <n v="1"/>
    <x v="0"/>
    <n v="7"/>
    <n v="7"/>
    <n v="148"/>
    <n v="24"/>
    <n v="39578178"/>
    <n v="32"/>
    <n v="93"/>
    <x v="44"/>
    <n v="51"/>
    <x v="2"/>
  </r>
  <r>
    <s v="BABY HELLO"/>
    <s v="Rauw Alejandro, Bizarrap"/>
    <n v="2"/>
    <x v="0"/>
    <n v="6"/>
    <n v="23"/>
    <n v="1004"/>
    <n v="35"/>
    <n v="54266102"/>
    <n v="42"/>
    <n v="80"/>
    <x v="8"/>
    <n v="77"/>
    <x v="38"/>
  </r>
  <r>
    <s v="Heat Waves"/>
    <s v="Glass Animals"/>
    <n v="1"/>
    <x v="7"/>
    <n v="6"/>
    <n v="28"/>
    <n v="22543"/>
    <n v="63"/>
    <n v="2557975762"/>
    <n v="386"/>
    <n v="144"/>
    <x v="45"/>
    <n v="76"/>
    <x v="2"/>
  </r>
  <r>
    <s v="golden hour"/>
    <s v="JVKE"/>
    <n v="1"/>
    <x v="2"/>
    <n v="7"/>
    <n v="15"/>
    <n v="4511"/>
    <n v="36"/>
    <n v="751134527"/>
    <n v="70"/>
    <n v="58"/>
    <x v="46"/>
    <n v="51"/>
    <x v="14"/>
  </r>
  <r>
    <s v="Sweater Weather"/>
    <s v="The Neighbourhood"/>
    <n v="1"/>
    <x v="9"/>
    <n v="5"/>
    <n v="14"/>
    <n v="16413"/>
    <n v="61"/>
    <n v="2282771485"/>
    <n v="166"/>
    <n v="87"/>
    <x v="47"/>
    <n v="61"/>
    <x v="31"/>
  </r>
  <r>
    <s v="Quevedo: Bzrp Music Sessions, Vol. 52"/>
    <s v="Bizarrap, Quevedo"/>
    <n v="2"/>
    <x v="2"/>
    <n v="7"/>
    <n v="6"/>
    <n v="8506"/>
    <n v="45"/>
    <n v="1356565093"/>
    <n v="94"/>
    <n v="65"/>
    <x v="33"/>
    <n v="62"/>
    <x v="39"/>
  </r>
  <r>
    <s v="Viva La Vida"/>
    <s v="Coldplay"/>
    <n v="1"/>
    <x v="11"/>
    <n v="1"/>
    <n v="1"/>
    <n v="33898"/>
    <n v="62"/>
    <n v="1592909789"/>
    <n v="233"/>
    <n v="0"/>
    <x v="2"/>
    <n v="49"/>
    <x v="8"/>
  </r>
  <r>
    <s v="Here With Me"/>
    <s v="d4vd"/>
    <n v="1"/>
    <x v="2"/>
    <n v="7"/>
    <n v="17"/>
    <n v="3246"/>
    <n v="23"/>
    <n v="635412045"/>
    <n v="94"/>
    <n v="85"/>
    <x v="48"/>
    <n v="58"/>
    <x v="9"/>
  </r>
  <r>
    <s v="Unholy (feat. Kim Petras)"/>
    <s v="Sam Smith, Kim Petras"/>
    <n v="2"/>
    <x v="2"/>
    <n v="9"/>
    <n v="22"/>
    <n v="8576"/>
    <n v="42"/>
    <n v="1230675890"/>
    <n v="216"/>
    <n v="108"/>
    <x v="49"/>
    <n v="71"/>
    <x v="40"/>
  </r>
  <r>
    <s v="Yandel 150"/>
    <s v="Yandel, Feid"/>
    <n v="2"/>
    <x v="2"/>
    <n v="12"/>
    <n v="20"/>
    <n v="3618"/>
    <n v="38"/>
    <n v="585695368"/>
    <n v="47"/>
    <n v="74"/>
    <x v="26"/>
    <n v="78"/>
    <x v="13"/>
  </r>
  <r>
    <s v="CORAZ'N VA"/>
    <s v="Maria Becerra"/>
    <n v="1"/>
    <x v="0"/>
    <n v="6"/>
    <n v="22"/>
    <n v="370"/>
    <n v="20"/>
    <n v="43857627"/>
    <n v="12"/>
    <n v="16"/>
    <x v="27"/>
    <n v="68"/>
    <x v="25"/>
  </r>
  <r>
    <s v="Riptide"/>
    <s v="Vance Joy"/>
    <n v="1"/>
    <x v="12"/>
    <n v="1"/>
    <n v="1"/>
    <n v="31123"/>
    <n v="55"/>
    <n v="2009094673"/>
    <n v="300"/>
    <n v="65"/>
    <x v="50"/>
    <n v="48"/>
    <x v="13"/>
  </r>
  <r>
    <s v="Until I Found You (with Em Beihold) - Em Beihold Version"/>
    <s v="Em Beihold, Stephen Sanchez"/>
    <n v="2"/>
    <x v="2"/>
    <n v="4"/>
    <n v="22"/>
    <n v="2790"/>
    <n v="30"/>
    <n v="600976848"/>
    <n v="60"/>
    <n v="96"/>
    <x v="41"/>
    <n v="34"/>
    <x v="41"/>
  </r>
  <r>
    <s v="Novidade na e½e"/>
    <s v="Mc Livinho, DJ Matt D"/>
    <n v="2"/>
    <x v="0"/>
    <n v="6"/>
    <n v="23"/>
    <n v="267"/>
    <n v="9"/>
    <n v="39709092"/>
    <n v="9"/>
    <n v="6"/>
    <x v="8"/>
    <n v="63"/>
    <x v="42"/>
  </r>
  <r>
    <s v="Back To December (Taylor's Version)"/>
    <s v="Taylor Swift"/>
    <n v="1"/>
    <x v="0"/>
    <n v="7"/>
    <n v="7"/>
    <n v="139"/>
    <n v="17"/>
    <n v="39228929"/>
    <n v="16"/>
    <n v="72"/>
    <x v="51"/>
    <n v="50"/>
    <x v="30"/>
  </r>
  <r>
    <s v="STAY (with Justin Bieber)"/>
    <s v="Justin Bieber, The Kid Laroi"/>
    <n v="2"/>
    <x v="13"/>
    <n v="7"/>
    <n v="9"/>
    <n v="17050"/>
    <n v="36"/>
    <n v="2665343922"/>
    <n v="492"/>
    <n v="99"/>
    <x v="3"/>
    <n v="59"/>
    <x v="6"/>
  </r>
  <r>
    <s v="El Merengue"/>
    <s v="Marshmello, Manuel Turizo"/>
    <n v="2"/>
    <x v="0"/>
    <n v="3"/>
    <n v="3"/>
    <n v="2114"/>
    <n v="44"/>
    <n v="223633238"/>
    <n v="80"/>
    <n v="75"/>
    <x v="47"/>
    <n v="78"/>
    <x v="11"/>
  </r>
  <r>
    <s v="Someone You Loved"/>
    <s v="Lewis Capaldi"/>
    <n v="1"/>
    <x v="5"/>
    <n v="11"/>
    <n v="8"/>
    <n v="17836"/>
    <n v="53"/>
    <n v="2887241814"/>
    <n v="440"/>
    <n v="125"/>
    <x v="24"/>
    <n v="50"/>
    <x v="43"/>
  </r>
  <r>
    <s v="Me Porto Bonito"/>
    <s v="Chencho Corleone, Bad Bunny"/>
    <n v="2"/>
    <x v="2"/>
    <n v="5"/>
    <n v="6"/>
    <n v="8870"/>
    <n v="43"/>
    <n v="1440757818"/>
    <n v="104"/>
    <n v="120"/>
    <x v="1"/>
    <n v="91"/>
    <x v="7"/>
  </r>
  <r>
    <s v="Makeba"/>
    <s v="Jain"/>
    <n v="1"/>
    <x v="14"/>
    <n v="6"/>
    <n v="22"/>
    <n v="6060"/>
    <n v="53"/>
    <n v="165484133"/>
    <n v="150"/>
    <n v="148"/>
    <x v="52"/>
    <n v="82"/>
    <x v="16"/>
  </r>
  <r>
    <s v="MONTAGEM - FR PUNK"/>
    <s v="Ayparia, unxbected"/>
    <n v="2"/>
    <x v="9"/>
    <n v="6"/>
    <n v="20"/>
    <n v="641"/>
    <n v="50"/>
    <n v="58054811"/>
    <n v="1"/>
    <n v="52"/>
    <x v="53"/>
    <n v="63"/>
    <x v="10"/>
  </r>
  <r>
    <s v="Fast Car"/>
    <s v="Luke Combs"/>
    <n v="1"/>
    <x v="0"/>
    <n v="3"/>
    <n v="24"/>
    <n v="1446"/>
    <n v="12"/>
    <n v="157058870"/>
    <n v="57"/>
    <n v="97"/>
    <x v="27"/>
    <n v="71"/>
    <x v="44"/>
  </r>
  <r>
    <s v="What It Is (Solo Version)"/>
    <s v="Doechii"/>
    <n v="1"/>
    <x v="0"/>
    <n v="3"/>
    <n v="17"/>
    <n v="804"/>
    <n v="25"/>
    <n v="95131998"/>
    <n v="29"/>
    <n v="76"/>
    <x v="54"/>
    <n v="74"/>
    <x v="6"/>
  </r>
  <r>
    <s v="Coco Chanel"/>
    <s v="Bad Bunny, Eladio Carrion"/>
    <n v="2"/>
    <x v="0"/>
    <n v="3"/>
    <n v="17"/>
    <n v="1962"/>
    <n v="38"/>
    <n v="250305248"/>
    <n v="28"/>
    <n v="89"/>
    <x v="10"/>
    <n v="68"/>
    <x v="6"/>
  </r>
  <r>
    <s v="Don't Bl"/>
    <s v="Taylor Swift"/>
    <n v="1"/>
    <x v="6"/>
    <n v="11"/>
    <n v="8"/>
    <n v="4875"/>
    <n v="23"/>
    <n v="685032533"/>
    <n v="19"/>
    <n v="45"/>
    <x v="55"/>
    <n v="62"/>
    <x v="2"/>
  </r>
  <r>
    <s v="Still With You"/>
    <s v="Jung Kook"/>
    <n v="1"/>
    <x v="7"/>
    <n v="6"/>
    <n v="5"/>
    <n v="31"/>
    <n v="39"/>
    <n v="38411956"/>
    <n v="2"/>
    <n v="107"/>
    <x v="56"/>
    <n v="53"/>
    <x v="40"/>
  </r>
  <r>
    <s v="All My Life (feat. J. Cole)"/>
    <s v="J. Cole, Lil Durk"/>
    <n v="2"/>
    <x v="0"/>
    <n v="5"/>
    <n v="12"/>
    <n v="2175"/>
    <n v="23"/>
    <n v="144565150"/>
    <n v="69"/>
    <n v="145"/>
    <x v="57"/>
    <n v="83"/>
    <x v="45"/>
  </r>
  <r>
    <s v="Say Yes To Heaven"/>
    <s v="Lana Del Rey"/>
    <n v="1"/>
    <x v="0"/>
    <n v="3"/>
    <n v="17"/>
    <n v="2000"/>
    <n v="46"/>
    <n v="127567540"/>
    <n v="49"/>
    <n v="105"/>
    <x v="7"/>
    <n v="49"/>
    <x v="46"/>
  </r>
  <r>
    <s v="Snooze"/>
    <s v="SZA"/>
    <n v="1"/>
    <x v="2"/>
    <n v="12"/>
    <n v="9"/>
    <n v="2839"/>
    <n v="25"/>
    <n v="399686758"/>
    <n v="58"/>
    <n v="156"/>
    <x v="57"/>
    <n v="56"/>
    <x v="47"/>
  </r>
  <r>
    <s v="Summertime Sadness"/>
    <s v="Lana Del Rey"/>
    <n v="1"/>
    <x v="15"/>
    <n v="1"/>
    <n v="1"/>
    <n v="20333"/>
    <n v="52"/>
    <n v="983637508"/>
    <n v="89"/>
    <n v="143"/>
    <x v="58"/>
    <n v="56"/>
    <x v="16"/>
  </r>
  <r>
    <s v="Take Two"/>
    <s v="BTS"/>
    <n v="1"/>
    <x v="0"/>
    <n v="6"/>
    <n v="9"/>
    <n v="674"/>
    <n v="47"/>
    <n v="118482347"/>
    <n v="20"/>
    <n v="106"/>
    <x v="59"/>
    <n v="62"/>
    <x v="14"/>
  </r>
  <r>
    <s v="Lover"/>
    <s v="Taylor Swift"/>
    <n v="1"/>
    <x v="9"/>
    <n v="1"/>
    <n v="1"/>
    <n v="8448"/>
    <n v="23"/>
    <n v="882831184"/>
    <n v="160"/>
    <n v="110"/>
    <x v="60"/>
    <n v="43"/>
    <x v="47"/>
  </r>
  <r>
    <s v="Too Many Nights (feat. Don Toliver &amp; with Future)"/>
    <s v="Future, Metro Boomin, Don Toliver"/>
    <n v="3"/>
    <x v="2"/>
    <n v="12"/>
    <n v="2"/>
    <n v="2110"/>
    <n v="58"/>
    <n v="286400165"/>
    <n v="17"/>
    <n v="119"/>
    <x v="56"/>
    <n v="68"/>
    <x v="7"/>
  </r>
  <r>
    <s v="Chemical"/>
    <s v="Post Malone"/>
    <n v="1"/>
    <x v="0"/>
    <n v="4"/>
    <n v="14"/>
    <n v="2528"/>
    <n v="39"/>
    <n v="172825906"/>
    <n v="56"/>
    <n v="91"/>
    <x v="3"/>
    <n v="50"/>
    <x v="48"/>
  </r>
  <r>
    <s v="Mockingbird"/>
    <s v="Eminem"/>
    <n v="1"/>
    <x v="16"/>
    <n v="1"/>
    <n v="1"/>
    <n v="12985"/>
    <n v="61"/>
    <n v="1241559043"/>
    <n v="49"/>
    <n v="98"/>
    <x v="61"/>
    <n v="62"/>
    <x v="18"/>
  </r>
  <r>
    <s v="New Jeans"/>
    <s v="NewJeans"/>
    <n v="1"/>
    <x v="0"/>
    <n v="7"/>
    <n v="7"/>
    <n v="77"/>
    <n v="35"/>
    <n v="29562220"/>
    <n v="8"/>
    <n v="166"/>
    <x v="35"/>
    <n v="81"/>
    <x v="3"/>
  </r>
  <r>
    <s v="Primera Cita"/>
    <s v="Carin Leon"/>
    <n v="1"/>
    <x v="2"/>
    <n v="4"/>
    <n v="20"/>
    <n v="266"/>
    <n v="27"/>
    <n v="77309611"/>
    <n v="6"/>
    <n v="40"/>
    <x v="62"/>
    <n v="54"/>
    <x v="49"/>
  </r>
  <r>
    <s v="Cold Heart - PNAU Remix"/>
    <s v="Dua Lipa, Elton John, Pnau"/>
    <n v="3"/>
    <x v="6"/>
    <n v="11"/>
    <n v="10"/>
    <n v="21097"/>
    <n v="52"/>
    <n v="1605224506"/>
    <n v="384"/>
    <n v="135"/>
    <x v="52"/>
    <n v="80"/>
    <x v="4"/>
  </r>
  <r>
    <s v="Dandelions"/>
    <s v="Ruth B."/>
    <n v="1"/>
    <x v="6"/>
    <n v="4"/>
    <n v="28"/>
    <n v="3423"/>
    <n v="21"/>
    <n v="1116995633"/>
    <n v="41"/>
    <n v="100"/>
    <x v="63"/>
    <n v="61"/>
    <x v="50"/>
  </r>
  <r>
    <s v="Bones"/>
    <s v="Imagine Dragons"/>
    <n v="1"/>
    <x v="13"/>
    <n v="3"/>
    <n v="11"/>
    <n v="4198"/>
    <n v="44"/>
    <n v="838079900"/>
    <n v="98"/>
    <n v="108"/>
    <x v="64"/>
    <n v="77"/>
    <x v="3"/>
  </r>
  <r>
    <s v="Set Fire to the Rain"/>
    <s v="Adele"/>
    <n v="1"/>
    <x v="15"/>
    <n v="1"/>
    <n v="1"/>
    <n v="14739"/>
    <n v="43"/>
    <n v="1163620694"/>
    <n v="88"/>
    <n v="112"/>
    <x v="65"/>
    <n v="61"/>
    <x v="11"/>
  </r>
  <r>
    <s v="Money Trees"/>
    <s v="Kendrick Lamar, Jay Rock"/>
    <n v="2"/>
    <x v="9"/>
    <n v="1"/>
    <n v="1"/>
    <n v="26792"/>
    <n v="32"/>
    <n v="1093605526"/>
    <n v="69"/>
    <n v="113"/>
    <x v="4"/>
    <n v="74"/>
    <x v="2"/>
  </r>
  <r>
    <s v="Tak Segampang Itu"/>
    <s v="Anggi Marito"/>
    <n v="1"/>
    <x v="2"/>
    <n v="12"/>
    <n v="2"/>
    <n v="213"/>
    <n v="6"/>
    <n v="179659294"/>
    <n v="7"/>
    <n v="6"/>
    <x v="8"/>
    <n v="51"/>
    <x v="45"/>
  </r>
  <r>
    <s v="LAGUNAS"/>
    <s v="Jasiel Nu'ez, Peso P"/>
    <n v="2"/>
    <x v="0"/>
    <n v="6"/>
    <n v="22"/>
    <n v="58"/>
    <n v="18"/>
    <n v="39058561"/>
    <n v="2"/>
    <n v="106"/>
    <x v="52"/>
    <n v="77"/>
    <x v="8"/>
  </r>
  <r>
    <s v="Mine (Taylor's Version)"/>
    <s v="Taylor Swift"/>
    <n v="1"/>
    <x v="0"/>
    <n v="7"/>
    <n v="7"/>
    <n v="99"/>
    <n v="15"/>
    <n v="36912123"/>
    <n v="21"/>
    <n v="52"/>
    <x v="66"/>
    <n v="65"/>
    <x v="39"/>
  </r>
  <r>
    <s v="Everybody Wants To Rule The World"/>
    <s v="Tears For Fears"/>
    <n v="1"/>
    <x v="17"/>
    <n v="2"/>
    <n v="17"/>
    <n v="41751"/>
    <n v="25"/>
    <n v="1205951614"/>
    <n v="101"/>
    <n v="32"/>
    <x v="58"/>
    <n v="64"/>
    <x v="31"/>
  </r>
  <r>
    <s v="No Role Modelz"/>
    <s v="J. Cole"/>
    <n v="1"/>
    <x v="4"/>
    <n v="12"/>
    <n v="9"/>
    <n v="21164"/>
    <n v="36"/>
    <n v="1791000570"/>
    <n v="80"/>
    <n v="65"/>
    <x v="7"/>
    <n v="70"/>
    <x v="32"/>
  </r>
  <r>
    <s v="Tattoo"/>
    <s v="Loreen"/>
    <n v="1"/>
    <x v="0"/>
    <n v="2"/>
    <n v="25"/>
    <n v="2988"/>
    <n v="59"/>
    <n v="201660859"/>
    <n v="74"/>
    <n v="102"/>
    <x v="10"/>
    <n v="55"/>
    <x v="39"/>
  </r>
  <r>
    <s v="Rara Vez"/>
    <s v="Taiu, Milo j"/>
    <n v="2"/>
    <x v="0"/>
    <n v="2"/>
    <n v="8"/>
    <n v="893"/>
    <n v="38"/>
    <n v="248088961"/>
    <n v="19"/>
    <n v="23"/>
    <x v="14"/>
    <n v="84"/>
    <x v="7"/>
  </r>
  <r>
    <s v="VAGABUNDO"/>
    <s v="Sebastian Yatra, Manuel Turizo, Bee½ï"/>
    <n v="3"/>
    <x v="0"/>
    <n v="5"/>
    <n v="12"/>
    <n v="1094"/>
    <n v="34"/>
    <n v="90839753"/>
    <n v="40"/>
    <n v="58"/>
    <x v="67"/>
    <n v="82"/>
    <x v="20"/>
  </r>
  <r>
    <s v="august"/>
    <s v="Taylor Swift"/>
    <n v="1"/>
    <x v="7"/>
    <n v="7"/>
    <n v="24"/>
    <n v="7324"/>
    <n v="22"/>
    <n v="607123776"/>
    <n v="25"/>
    <n v="81"/>
    <x v="32"/>
    <n v="51"/>
    <x v="23"/>
  </r>
  <r>
    <s v="LUNA"/>
    <s v="Junior H, Peso Pluma"/>
    <n v="2"/>
    <x v="0"/>
    <n v="6"/>
    <n v="22"/>
    <n v="201"/>
    <n v="11"/>
    <n v="55842345"/>
    <n v="19"/>
    <n v="117"/>
    <x v="33"/>
    <n v="75"/>
    <x v="24"/>
  </r>
  <r>
    <s v="Miracle (with Ellie Goulding)"/>
    <s v="Calvin Harris, Ellie Goulding"/>
    <n v="2"/>
    <x v="0"/>
    <n v="3"/>
    <n v="10"/>
    <n v="5120"/>
    <n v="48"/>
    <n v="211050784"/>
    <n v="161"/>
    <n v="115"/>
    <x v="57"/>
    <n v="64"/>
    <x v="22"/>
  </r>
  <r>
    <s v="Nonsense"/>
    <s v="Sabrina Carpenter"/>
    <n v="1"/>
    <x v="2"/>
    <n v="7"/>
    <n v="15"/>
    <n v="2346"/>
    <n v="27"/>
    <n v="342897938"/>
    <n v="69"/>
    <n v="12"/>
    <x v="68"/>
    <n v="74"/>
    <x v="11"/>
  </r>
  <r>
    <s v="Que Vuelvas"/>
    <s v="Carin Leon, Grupo Frontera"/>
    <n v="2"/>
    <x v="2"/>
    <n v="12"/>
    <n v="9"/>
    <n v="763"/>
    <n v="26"/>
    <n v="2762"/>
    <n v="21"/>
    <n v="110"/>
    <x v="69"/>
    <n v="49"/>
    <x v="30"/>
  </r>
  <r>
    <s v="Por las Noches"/>
    <s v="Peso Pluma"/>
    <n v="1"/>
    <x v="13"/>
    <n v="6"/>
    <n v="11"/>
    <n v="457"/>
    <n v="24"/>
    <n v="330346424"/>
    <n v="8"/>
    <n v="116"/>
    <x v="1"/>
    <n v="81"/>
    <x v="44"/>
  </r>
  <r>
    <s v="Feliz Cumplea'os Fe"/>
    <s v="Feid"/>
    <n v="1"/>
    <x v="2"/>
    <n v="8"/>
    <n v="19"/>
    <n v="3430"/>
    <n v="38"/>
    <n v="601863821"/>
    <n v="45"/>
    <n v="69"/>
    <x v="31"/>
    <n v="87"/>
    <x v="47"/>
  </r>
  <r>
    <s v="Can't Hold Us (feat. Ray Dalton)"/>
    <s v="Ray Dalton, Ryan Lewis, Macklemore"/>
    <n v="3"/>
    <x v="15"/>
    <n v="8"/>
    <n v="16"/>
    <n v="6074"/>
    <n v="52"/>
    <n v="1953533826"/>
    <n v="201"/>
    <n v="44"/>
    <x v="70"/>
    <n v="63"/>
    <x v="51"/>
  </r>
  <r>
    <s v="Watermelon Sugar"/>
    <s v="Harry Styles"/>
    <n v="1"/>
    <x v="1"/>
    <n v="11"/>
    <n v="17"/>
    <n v="21915"/>
    <n v="34"/>
    <n v="2322580122"/>
    <n v="437"/>
    <n v="115"/>
    <x v="31"/>
    <n v="55"/>
    <x v="10"/>
  </r>
  <r>
    <s v="lovely - Bonus Track"/>
    <s v="Billie Eilish, Khalid"/>
    <n v="2"/>
    <x v="6"/>
    <n v="8"/>
    <n v="11"/>
    <n v="15032"/>
    <n v="30"/>
    <n v="2355719893"/>
    <n v="221"/>
    <n v="96"/>
    <x v="71"/>
    <n v="35"/>
    <x v="52"/>
  </r>
  <r>
    <s v="Rauw Alejandro: Bzrp Music Sessions, Vol. 56"/>
    <s v="Rauw Alejandro, Bizarrap"/>
    <n v="2"/>
    <x v="0"/>
    <n v="6"/>
    <n v="21"/>
    <n v="871"/>
    <n v="32"/>
    <n v="66902503"/>
    <n v="25"/>
    <n v="59"/>
    <x v="33"/>
    <n v="78"/>
    <x v="26"/>
  </r>
  <r>
    <s v="Queencard"/>
    <s v="(G)I-DLE"/>
    <n v="1"/>
    <x v="0"/>
    <n v="5"/>
    <n v="15"/>
    <n v="451"/>
    <n v="33"/>
    <n v="96273746"/>
    <n v="10"/>
    <n v="126"/>
    <x v="8"/>
    <n v="82"/>
    <x v="0"/>
  </r>
  <r>
    <s v="OMG"/>
    <s v="NewJeans"/>
    <n v="1"/>
    <x v="0"/>
    <n v="1"/>
    <n v="2"/>
    <n v="1783"/>
    <n v="27"/>
    <n v="430977451"/>
    <n v="26"/>
    <n v="124"/>
    <x v="67"/>
    <n v="80"/>
    <x v="53"/>
  </r>
  <r>
    <s v="Radio"/>
    <s v="Lana Del Rey"/>
    <n v="1"/>
    <x v="15"/>
    <n v="1"/>
    <n v="1"/>
    <n v="9389"/>
    <n v="46"/>
    <n v="284819874"/>
    <n v="24"/>
    <n v="122"/>
    <x v="10"/>
    <n v="42"/>
    <x v="19"/>
  </r>
  <r>
    <s v="Shakira: Bzrp Music Sessions, Vol. 53"/>
    <s v="Shakira, Bizarrap"/>
    <n v="2"/>
    <x v="0"/>
    <n v="1"/>
    <n v="11"/>
    <n v="5724"/>
    <n v="44"/>
    <n v="721975598"/>
    <n v="119"/>
    <n v="108"/>
    <x v="22"/>
    <n v="78"/>
    <x v="24"/>
  </r>
  <r>
    <n v="505"/>
    <s v="Arctic Monkeys"/>
    <n v="1"/>
    <x v="18"/>
    <n v="4"/>
    <n v="20"/>
    <n v="13985"/>
    <n v="25"/>
    <n v="1217120710"/>
    <n v="30"/>
    <n v="80"/>
    <x v="16"/>
    <n v="52"/>
    <x v="20"/>
  </r>
  <r>
    <s v="Calling (Spider-Man: Across the Spider-Verse) (Metro Boomin &amp; Swae Lee, NAV, feat. A Boogie Wit da Hoodie)"/>
    <s v="Swae Lee, A Boogie Wit da Hoodie, Metro Boomin, NAV"/>
    <n v="4"/>
    <x v="0"/>
    <n v="6"/>
    <n v="2"/>
    <n v="1051"/>
    <n v="16"/>
    <n v="109276132"/>
    <n v="31"/>
    <n v="37"/>
    <x v="16"/>
    <n v="63"/>
    <x v="36"/>
  </r>
  <r>
    <s v="Trance (with Travis Scott &amp; Young Thug)"/>
    <s v="Travis Scott, Young Thug, Metro Boomin"/>
    <n v="3"/>
    <x v="2"/>
    <n v="12"/>
    <n v="2"/>
    <n v="1682"/>
    <n v="46"/>
    <n v="276259178"/>
    <n v="24"/>
    <n v="90"/>
    <x v="72"/>
    <n v="75"/>
    <x v="2"/>
  </r>
  <r>
    <s v="Tere Vaaste (From &quot;Zara Hatke Zara Bachke&quot;)"/>
    <s v="Sachin-Jigar, Shadab Faridi, Altamash Faridi, Amitabh Bhattacharya, Varun Jain"/>
    <n v="5"/>
    <x v="0"/>
    <n v="5"/>
    <n v="22"/>
    <n v="182"/>
    <n v="8"/>
    <n v="54225632"/>
    <n v="3"/>
    <n v="88"/>
    <x v="24"/>
    <n v="76"/>
    <x v="3"/>
  </r>
  <r>
    <s v="Perfect"/>
    <s v="Ed Sheeran"/>
    <n v="1"/>
    <x v="6"/>
    <n v="1"/>
    <n v="1"/>
    <n v="16596"/>
    <n v="13"/>
    <n v="2559529074"/>
    <n v="7"/>
    <n v="0"/>
    <x v="31"/>
    <n v="60"/>
    <x v="54"/>
  </r>
  <r>
    <s v="Romantic Homicide"/>
    <s v="d4vd"/>
    <n v="1"/>
    <x v="2"/>
    <n v="7"/>
    <n v="20"/>
    <n v="2335"/>
    <n v="23"/>
    <n v="681583126"/>
    <n v="82"/>
    <n v="55"/>
    <x v="48"/>
    <n v="56"/>
    <x v="47"/>
  </r>
  <r>
    <s v="Believer"/>
    <s v="Imagine Dragons"/>
    <n v="1"/>
    <x v="6"/>
    <n v="1"/>
    <n v="31"/>
    <n v="18986"/>
    <n v="23"/>
    <n v="2594040133"/>
    <n v="250"/>
    <n v="121"/>
    <x v="0"/>
    <n v="77"/>
    <x v="39"/>
  </r>
  <r>
    <s v="Novo Balane½"/>
    <s v="Veigh, Bvga Beatz, Supernova Ent, Prod Malax"/>
    <n v="4"/>
    <x v="0"/>
    <n v="5"/>
    <n v="19"/>
    <n v="283"/>
    <n v="7"/>
    <n v="81102253"/>
    <n v="6"/>
    <n v="9"/>
    <x v="47"/>
    <n v="84"/>
    <x v="27"/>
  </r>
  <r>
    <s v="Gol Bolinha, Gol Quadrado 2"/>
    <s v="Mc Pedrinho, DJ 900"/>
    <n v="2"/>
    <x v="0"/>
    <n v="6"/>
    <n v="1"/>
    <n v="293"/>
    <n v="8"/>
    <n v="11956641"/>
    <n v="5"/>
    <n v="2"/>
    <x v="19"/>
    <n v="93"/>
    <x v="26"/>
  </r>
  <r>
    <s v="Without Me"/>
    <s v="Eminem"/>
    <n v="1"/>
    <x v="19"/>
    <n v="1"/>
    <n v="1"/>
    <n v="21081"/>
    <n v="43"/>
    <n v="1687664027"/>
    <n v="98"/>
    <n v="76"/>
    <x v="58"/>
    <n v="92"/>
    <x v="16"/>
  </r>
  <r>
    <s v="QUEMA"/>
    <s v="Sog, Ryan Castro, Peso Pluma"/>
    <n v="3"/>
    <x v="0"/>
    <n v="7"/>
    <n v="13"/>
    <n v="437"/>
    <n v="31"/>
    <n v="11599388"/>
    <n v="17"/>
    <n v="29"/>
    <x v="28"/>
    <n v="79"/>
    <x v="38"/>
  </r>
  <r>
    <s v="Stargirl Interlude"/>
    <s v="The Weeknd, Lana Del Rey"/>
    <n v="2"/>
    <x v="8"/>
    <n v="11"/>
    <n v="24"/>
    <n v="1275"/>
    <n v="32"/>
    <n v="611700552"/>
    <n v="13"/>
    <n v="8"/>
    <x v="32"/>
    <n v="59"/>
    <x v="9"/>
  </r>
  <r>
    <s v="Ojitos Lindos"/>
    <s v="Bomba Est'reo, Bad B"/>
    <n v="2"/>
    <x v="2"/>
    <n v="5"/>
    <n v="6"/>
    <n v="6135"/>
    <n v="38"/>
    <n v="1133865788"/>
    <n v="71"/>
    <n v="113"/>
    <x v="73"/>
    <n v="65"/>
    <x v="50"/>
  </r>
  <r>
    <s v="Somewhere Only We Know"/>
    <s v="Keane"/>
    <n v="1"/>
    <x v="16"/>
    <n v="1"/>
    <n v="1"/>
    <n v="20015"/>
    <n v="16"/>
    <n v="1089402494"/>
    <n v="107"/>
    <n v="69"/>
    <x v="54"/>
    <n v="45"/>
    <x v="14"/>
  </r>
  <r>
    <s v="Those Eyes"/>
    <s v="New West"/>
    <n v="1"/>
    <x v="1"/>
    <n v="5"/>
    <n v="10"/>
    <n v="1507"/>
    <n v="14"/>
    <n v="411747614"/>
    <n v="24"/>
    <n v="71"/>
    <x v="14"/>
    <n v="60"/>
    <x v="46"/>
  </r>
  <r>
    <s v="El Gordo Trae El Mando"/>
    <s v="Chino Pacas"/>
    <n v="1"/>
    <x v="0"/>
    <n v="1"/>
    <n v="27"/>
    <n v="539"/>
    <n v="21"/>
    <n v="255932395"/>
    <n v="7"/>
    <n v="71"/>
    <x v="16"/>
    <n v="74"/>
    <x v="4"/>
  </r>
  <r>
    <s v="Mi Bello Angel"/>
    <s v="Natanael Cano"/>
    <n v="1"/>
    <x v="0"/>
    <n v="6"/>
    <n v="30"/>
    <n v="86"/>
    <n v="8"/>
    <n v="31873544"/>
    <n v="7"/>
    <n v="76"/>
    <x v="33"/>
    <n v="81"/>
    <x v="53"/>
  </r>
  <r>
    <s v="Bye"/>
    <s v="Peso Pluma"/>
    <n v="1"/>
    <x v="0"/>
    <n v="5"/>
    <n v="26"/>
    <n v="324"/>
    <n v="14"/>
    <n v="95053634"/>
    <n v="13"/>
    <n v="110"/>
    <x v="22"/>
    <n v="78"/>
    <x v="31"/>
  </r>
  <r>
    <s v="Danza Kuduro"/>
    <s v="Don Omar, Lucenzo"/>
    <n v="2"/>
    <x v="20"/>
    <n v="1"/>
    <n v="1"/>
    <n v="17138"/>
    <n v="37"/>
    <n v="1279434863"/>
    <n v="119"/>
    <n v="81"/>
    <x v="8"/>
    <n v="47"/>
    <x v="55"/>
  </r>
  <r>
    <s v="Nosso Quadro"/>
    <s v="Ana Castela, AgroPlay"/>
    <n v="2"/>
    <x v="0"/>
    <n v="2"/>
    <n v="2"/>
    <n v="894"/>
    <n v="9"/>
    <n v="233801632"/>
    <n v="14"/>
    <n v="88"/>
    <x v="74"/>
    <n v="69"/>
    <x v="7"/>
  </r>
  <r>
    <s v="Locked Out Of Heaven"/>
    <s v="Bruno Mars"/>
    <n v="1"/>
    <x v="9"/>
    <n v="12"/>
    <n v="5"/>
    <n v="1622"/>
    <n v="9"/>
    <n v="1481349984"/>
    <n v="0"/>
    <n v="0"/>
    <x v="4"/>
    <n v="73"/>
    <x v="34"/>
  </r>
  <r>
    <s v="Un Finde | CROSSOVER #2"/>
    <s v="Big One, FMK, Ke personajes"/>
    <n v="3"/>
    <x v="0"/>
    <n v="4"/>
    <n v="4"/>
    <n v="561"/>
    <n v="14"/>
    <n v="142095275"/>
    <n v="4"/>
    <n v="14"/>
    <x v="75"/>
    <n v="50"/>
    <x v="32"/>
  </r>
  <r>
    <s v="Jimmy Cooks (feat. 21 Savage)"/>
    <s v="Drake, 21 Savage"/>
    <n v="2"/>
    <x v="2"/>
    <n v="6"/>
    <n v="17"/>
    <n v="5871"/>
    <n v="27"/>
    <n v="618885532"/>
    <n v="81"/>
    <n v="121"/>
    <x v="76"/>
    <n v="54"/>
    <x v="18"/>
  </r>
  <r>
    <s v="Counting Stars"/>
    <s v="OneRepublic"/>
    <n v="1"/>
    <x v="3"/>
    <n v="1"/>
    <n v="1"/>
    <n v="29215"/>
    <n v="43"/>
    <n v="2011464183"/>
    <n v="179"/>
    <n v="97"/>
    <x v="22"/>
    <n v="66"/>
    <x v="7"/>
  </r>
  <r>
    <s v="Ghost"/>
    <s v="Justin Bieber"/>
    <n v="1"/>
    <x v="13"/>
    <n v="3"/>
    <n v="19"/>
    <n v="5866"/>
    <n v="24"/>
    <n v="1167330737"/>
    <n v="107"/>
    <n v="38"/>
    <x v="77"/>
    <n v="61"/>
    <x v="1"/>
  </r>
  <r>
    <s v="Under The Influence"/>
    <s v="Chris Brown"/>
    <n v="1"/>
    <x v="1"/>
    <n v="10"/>
    <n v="4"/>
    <n v="3859"/>
    <n v="26"/>
    <n v="929964809"/>
    <n v="133"/>
    <n v="181"/>
    <x v="63"/>
    <n v="73"/>
    <x v="50"/>
  </r>
  <r>
    <s v="PRC"/>
    <s v="Natanael Cano, Peso Pluma"/>
    <n v="2"/>
    <x v="0"/>
    <n v="1"/>
    <n v="23"/>
    <n v="961"/>
    <n v="26"/>
    <n v="436027885"/>
    <n v="19"/>
    <n v="143"/>
    <x v="2"/>
    <n v="78"/>
    <x v="0"/>
  </r>
  <r>
    <s v="Gasolina"/>
    <s v="Daddy Yankee"/>
    <n v="1"/>
    <x v="16"/>
    <n v="7"/>
    <n v="13"/>
    <n v="6457"/>
    <n v="18"/>
    <n v="657723613"/>
    <n v="98"/>
    <n v="95"/>
    <x v="30"/>
    <n v="86"/>
    <x v="4"/>
  </r>
  <r>
    <s v="One Dance"/>
    <s v="Drake, WizKid, Kyla"/>
    <n v="3"/>
    <x v="8"/>
    <n v="4"/>
    <n v="4"/>
    <n v="43257"/>
    <n v="24"/>
    <n v="2713922350"/>
    <n v="433"/>
    <n v="107"/>
    <x v="78"/>
    <n v="77"/>
    <x v="24"/>
  </r>
  <r>
    <s v="Enchanted"/>
    <s v="Taylor Swift"/>
    <n v="1"/>
    <x v="20"/>
    <n v="1"/>
    <n v="1"/>
    <n v="4564"/>
    <n v="16"/>
    <n v="621660989"/>
    <n v="24"/>
    <n v="101"/>
    <x v="79"/>
    <n v="45"/>
    <x v="8"/>
  </r>
  <r>
    <s v="Save Your Tears"/>
    <s v="The Weeknd"/>
    <n v="1"/>
    <x v="7"/>
    <n v="3"/>
    <n v="20"/>
    <n v="12688"/>
    <n v="13"/>
    <n v="1591223784"/>
    <n v="197"/>
    <n v="115"/>
    <x v="11"/>
    <n v="68"/>
    <x v="10"/>
  </r>
  <r>
    <s v="Sure Thing"/>
    <s v="Miguel"/>
    <n v="1"/>
    <x v="20"/>
    <n v="5"/>
    <n v="25"/>
    <n v="13801"/>
    <n v="19"/>
    <n v="950906471"/>
    <n v="137"/>
    <n v="125"/>
    <x v="45"/>
    <n v="68"/>
    <x v="44"/>
  </r>
  <r>
    <s v="Every Breath You Take - Remastered 2003"/>
    <s v="The Police"/>
    <n v="1"/>
    <x v="21"/>
    <n v="1"/>
    <n v="6"/>
    <n v="22439"/>
    <n v="19"/>
    <n v="1593270737"/>
    <n v="211"/>
    <n v="74"/>
    <x v="63"/>
    <n v="82"/>
    <x v="54"/>
  </r>
  <r>
    <s v="The Night We Met"/>
    <s v="Lord Huron"/>
    <n v="1"/>
    <x v="14"/>
    <n v="2"/>
    <n v="2"/>
    <n v="18515"/>
    <n v="35"/>
    <n v="1410088830"/>
    <n v="70"/>
    <n v="82"/>
    <x v="12"/>
    <n v="45"/>
    <x v="56"/>
  </r>
  <r>
    <s v="We Found Love"/>
    <s v="Rihanna, Calvin Harris"/>
    <n v="2"/>
    <x v="15"/>
    <n v="1"/>
    <n v="1"/>
    <n v="36843"/>
    <n v="21"/>
    <n v="1235005533"/>
    <n v="321"/>
    <n v="91"/>
    <x v="33"/>
    <n v="73"/>
    <x v="53"/>
  </r>
  <r>
    <s v="When I Was Your Man"/>
    <s v="Bruno Mars"/>
    <n v="1"/>
    <x v="9"/>
    <n v="12"/>
    <n v="5"/>
    <n v="2420"/>
    <n v="11"/>
    <n v="1661187319"/>
    <n v="0"/>
    <n v="0"/>
    <x v="80"/>
    <n v="60"/>
    <x v="57"/>
  </r>
  <r>
    <s v="Let Me Down Slowly"/>
    <s v="Alec Benjamin"/>
    <n v="1"/>
    <x v="5"/>
    <n v="5"/>
    <n v="25"/>
    <n v="5897"/>
    <n v="19"/>
    <n v="1374581173"/>
    <n v="0"/>
    <n v="0"/>
    <x v="10"/>
    <n v="65"/>
    <x v="47"/>
  </r>
  <r>
    <s v="Am I Dreaming (Metro Boomin &amp; A$AP Rocky, Roisee)"/>
    <s v="A$AP Rocky, Metro Boomin, Roisee"/>
    <n v="3"/>
    <x v="0"/>
    <n v="6"/>
    <n v="2"/>
    <n v="727"/>
    <n v="16"/>
    <n v="94186466"/>
    <n v="17"/>
    <n v="60"/>
    <x v="32"/>
    <n v="60"/>
    <x v="2"/>
  </r>
  <r>
    <s v="Do I Wanna Know?"/>
    <s v="Arctic Monkeys"/>
    <n v="1"/>
    <x v="3"/>
    <n v="1"/>
    <n v="1"/>
    <n v="33783"/>
    <n v="26"/>
    <n v="1788326445"/>
    <n v="133"/>
    <n v="92"/>
    <x v="81"/>
    <n v="55"/>
    <x v="2"/>
  </r>
  <r>
    <s v="Demons"/>
    <s v="Imagine Dragons"/>
    <n v="1"/>
    <x v="9"/>
    <n v="1"/>
    <n v="1"/>
    <n v="26694"/>
    <n v="13"/>
    <n v="1840364617"/>
    <n v="65"/>
    <n v="82"/>
    <x v="29"/>
    <n v="33"/>
    <x v="7"/>
  </r>
  <r>
    <s v="ýýýýýýýýýýýý"/>
    <s v="YOASOBI"/>
    <n v="1"/>
    <x v="0"/>
    <n v="4"/>
    <n v="12"/>
    <n v="356"/>
    <n v="16"/>
    <n v="143573775"/>
    <n v="35"/>
    <n v="102"/>
    <x v="82"/>
    <n v="57"/>
    <x v="58"/>
  </r>
  <r>
    <s v="Reminder"/>
    <s v="The Weeknd"/>
    <n v="1"/>
    <x v="8"/>
    <n v="11"/>
    <n v="25"/>
    <n v="6518"/>
    <n v="17"/>
    <n v="684675814"/>
    <n v="45"/>
    <n v="85"/>
    <x v="74"/>
    <n v="71"/>
    <x v="27"/>
  </r>
  <r>
    <s v="Shake It Off"/>
    <s v="Taylor Swift"/>
    <n v="1"/>
    <x v="4"/>
    <n v="1"/>
    <n v="1"/>
    <n v="21335"/>
    <n v="13"/>
    <n v="1113838873"/>
    <n v="328"/>
    <n v="70"/>
    <x v="74"/>
    <n v="65"/>
    <x v="4"/>
  </r>
  <r>
    <s v="Why'd You Only Call Me When You're High?"/>
    <s v="Arctic Monkeys"/>
    <n v="1"/>
    <x v="3"/>
    <n v="1"/>
    <n v="1"/>
    <n v="23389"/>
    <n v="29"/>
    <n v="1267333350"/>
    <n v="54"/>
    <n v="70"/>
    <x v="1"/>
    <n v="70"/>
    <x v="24"/>
  </r>
  <r>
    <s v="SNAP"/>
    <s v="Rosa Linn"/>
    <n v="1"/>
    <x v="2"/>
    <n v="3"/>
    <n v="19"/>
    <n v="3202"/>
    <n v="18"/>
    <n v="726307468"/>
    <n v="148"/>
    <n v="80"/>
    <x v="3"/>
    <n v="56"/>
    <x v="30"/>
  </r>
  <r>
    <s v="Shape of You"/>
    <s v="Ed Sheeran"/>
    <n v="1"/>
    <x v="6"/>
    <n v="1"/>
    <n v="6"/>
    <n v="32181"/>
    <n v="10"/>
    <n v="3562543890"/>
    <n v="33"/>
    <n v="0"/>
    <x v="30"/>
    <n v="83"/>
    <x v="26"/>
  </r>
  <r>
    <s v="Night Changes"/>
    <s v="One Direction"/>
    <n v="1"/>
    <x v="4"/>
    <n v="11"/>
    <n v="17"/>
    <n v="7124"/>
    <n v="18"/>
    <n v="1131090940"/>
    <n v="60"/>
    <n v="20"/>
    <x v="14"/>
    <n v="67"/>
    <x v="32"/>
  </r>
  <r>
    <s v="Fin de Semana"/>
    <s v="Oscar Maydon, Junior H"/>
    <n v="2"/>
    <x v="0"/>
    <n v="1"/>
    <n v="13"/>
    <n v="592"/>
    <n v="14"/>
    <n v="307370144"/>
    <n v="11"/>
    <n v="84"/>
    <x v="27"/>
    <n v="70"/>
    <x v="36"/>
  </r>
  <r>
    <s v="Creep"/>
    <s v="Radiohead"/>
    <n v="1"/>
    <x v="22"/>
    <n v="9"/>
    <n v="21"/>
    <n v="36724"/>
    <n v="7"/>
    <n v="1271293243"/>
    <n v="146"/>
    <n v="72"/>
    <x v="1"/>
    <n v="53"/>
    <x v="42"/>
  </r>
  <r>
    <s v="Car's Outside"/>
    <s v="James Arthur"/>
    <n v="1"/>
    <x v="1"/>
    <n v="10"/>
    <n v="18"/>
    <n v="794"/>
    <n v="10"/>
    <n v="265882712"/>
    <n v="38"/>
    <n v="25"/>
    <x v="10"/>
    <n v="34"/>
    <x v="29"/>
  </r>
  <r>
    <s v="Apocalypse"/>
    <s v="Cigarettes After Sex"/>
    <n v="1"/>
    <x v="6"/>
    <n v="3"/>
    <n v="21"/>
    <n v="13091"/>
    <n v="17"/>
    <n v="841749534"/>
    <n v="61"/>
    <n v="96"/>
    <x v="46"/>
    <n v="37"/>
    <x v="40"/>
  </r>
  <r>
    <s v="Cheques"/>
    <s v="Shubh"/>
    <n v="1"/>
    <x v="0"/>
    <n v="5"/>
    <n v="19"/>
    <n v="67"/>
    <n v="8"/>
    <n v="47956378"/>
    <n v="7"/>
    <n v="10"/>
    <x v="32"/>
    <n v="74"/>
    <x v="24"/>
  </r>
  <r>
    <s v="Pink + White"/>
    <s v="Frank Ocean"/>
    <n v="1"/>
    <x v="8"/>
    <n v="8"/>
    <n v="20"/>
    <n v="21574"/>
    <n v="30"/>
    <n v="806397070"/>
    <n v="112"/>
    <n v="68"/>
    <x v="74"/>
    <n v="54"/>
    <x v="47"/>
  </r>
  <r>
    <s v="Circles"/>
    <s v="Post Malone"/>
    <n v="1"/>
    <x v="1"/>
    <n v="8"/>
    <n v="30"/>
    <n v="19664"/>
    <n v="16"/>
    <n v="2132335812"/>
    <n v="391"/>
    <n v="73"/>
    <x v="14"/>
    <n v="70"/>
    <x v="59"/>
  </r>
  <r>
    <s v="Just The Way You Are"/>
    <s v="Bruno Mars"/>
    <n v="1"/>
    <x v="20"/>
    <n v="1"/>
    <n v="1"/>
    <n v="21106"/>
    <n v="13"/>
    <n v="1641426668"/>
    <n v="82"/>
    <n v="0"/>
    <x v="83"/>
    <n v="63"/>
    <x v="20"/>
  </r>
  <r>
    <s v="Take Me To Church"/>
    <s v="Hozier"/>
    <n v="1"/>
    <x v="3"/>
    <n v="9"/>
    <n v="13"/>
    <n v="23804"/>
    <n v="31"/>
    <n v="2135158446"/>
    <n v="187"/>
    <n v="99"/>
    <x v="53"/>
    <n v="57"/>
    <x v="16"/>
  </r>
  <r>
    <s v="Bebe Dame"/>
    <s v="Fuerza Regida, Grupo Frontera"/>
    <n v="2"/>
    <x v="2"/>
    <n v="12"/>
    <n v="16"/>
    <n v="849"/>
    <n v="22"/>
    <n v="367316268"/>
    <n v="27"/>
    <n v="129"/>
    <x v="84"/>
    <n v="54"/>
    <x v="44"/>
  </r>
  <r>
    <s v="You Belong With Me (Taylor's Ve"/>
    <s v="Taylor Swift"/>
    <n v="1"/>
    <x v="13"/>
    <n v="4"/>
    <n v="9"/>
    <n v="2619"/>
    <n v="12"/>
    <n v="350381515"/>
    <n v="47"/>
    <n v="90"/>
    <x v="8"/>
    <n v="63"/>
    <x v="13"/>
  </r>
  <r>
    <s v="Titi Me Pregunte"/>
    <s v="Bad Bunny"/>
    <n v="1"/>
    <x v="2"/>
    <n v="5"/>
    <n v="6"/>
    <n v="9037"/>
    <n v="42"/>
    <n v="1264310836"/>
    <n v="124"/>
    <n v="133"/>
    <x v="21"/>
    <n v="65"/>
    <x v="3"/>
  </r>
  <r>
    <s v="Better Than Revenge (Taylor's Version)"/>
    <s v="Taylor Swift"/>
    <n v="1"/>
    <x v="0"/>
    <n v="7"/>
    <n v="7"/>
    <n v="86"/>
    <n v="11"/>
    <n v="30343206"/>
    <n v="3"/>
    <n v="33"/>
    <x v="70"/>
    <n v="50"/>
    <x v="38"/>
  </r>
  <r>
    <s v="Shut up My Moms Calling"/>
    <s v="Hotel Ugly"/>
    <n v="1"/>
    <x v="7"/>
    <n v="2"/>
    <n v="10"/>
    <n v="1788"/>
    <n v="14"/>
    <n v="405136812"/>
    <n v="1"/>
    <n v="50"/>
    <x v="68"/>
    <n v="48"/>
    <x v="43"/>
  </r>
  <r>
    <s v="Have You Ever Seen The Rain?"/>
    <s v="Creedence Clearwater Revival"/>
    <n v="1"/>
    <x v="23"/>
    <n v="7"/>
    <n v="1"/>
    <n v="15890"/>
    <n v="14"/>
    <n v="1145727611"/>
    <n v="71"/>
    <n v="37"/>
    <x v="52"/>
    <n v="74"/>
    <x v="34"/>
  </r>
  <r>
    <s v="Es un Secreto"/>
    <s v="Plan B"/>
    <n v="1"/>
    <x v="20"/>
    <n v="7"/>
    <n v="20"/>
    <n v="492"/>
    <n v="36"/>
    <n v="540654286"/>
    <n v="4"/>
    <n v="3"/>
    <x v="31"/>
    <n v="84"/>
    <x v="53"/>
  </r>
  <r>
    <s v="POLARIS - Remix"/>
    <s v="Feid, Mora, Saiko, Quevedo"/>
    <n v="4"/>
    <x v="0"/>
    <n v="6"/>
    <n v="8"/>
    <n v="773"/>
    <n v="33"/>
    <n v="57312735"/>
    <n v="20"/>
    <n v="46"/>
    <x v="3"/>
    <n v="62"/>
    <x v="4"/>
  </r>
  <r>
    <s v="Ditto"/>
    <s v="NewJeans"/>
    <n v="1"/>
    <x v="2"/>
    <n v="12"/>
    <n v="19"/>
    <n v="1154"/>
    <n v="22"/>
    <n v="397582059"/>
    <n v="28"/>
    <n v="125"/>
    <x v="35"/>
    <n v="81"/>
    <x v="30"/>
  </r>
  <r>
    <s v="Take On Me"/>
    <s v="a-ha"/>
    <n v="1"/>
    <x v="24"/>
    <n v="10"/>
    <n v="19"/>
    <n v="44927"/>
    <n v="17"/>
    <n v="1479115056"/>
    <n v="34"/>
    <n v="0"/>
    <x v="61"/>
    <n v="57"/>
    <x v="48"/>
  </r>
  <r>
    <s v="Annihilate (Spider-Man: Across the Spider-Verse) (Metro Boomin &amp; Swae Lee, Lil Wayne, Offset)"/>
    <s v="Swae Lee, Lil Wayne, Offset, Metro Boomin"/>
    <n v="4"/>
    <x v="0"/>
    <n v="6"/>
    <n v="2"/>
    <n v="551"/>
    <n v="4"/>
    <n v="86773632"/>
    <n v="13"/>
    <n v="46"/>
    <x v="70"/>
    <n v="61"/>
    <x v="9"/>
  </r>
  <r>
    <s v="Angel Pt 1 (feat. Jimin of BTS, JVKE &amp; Muni Long)"/>
    <s v="Kodak Black, NLE Choppa, Muni Long, JVKE, Jimin"/>
    <n v="5"/>
    <x v="0"/>
    <n v="5"/>
    <n v="1"/>
    <n v="577"/>
    <n v="14"/>
    <n v="133753727"/>
    <n v="22"/>
    <n v="18"/>
    <x v="85"/>
    <n v="53"/>
    <x v="18"/>
  </r>
  <r>
    <s v="Acr's"/>
    <s v="Shakira"/>
    <n v="1"/>
    <x v="0"/>
    <n v="5"/>
    <n v="11"/>
    <n v="955"/>
    <n v="29"/>
    <n v="123124076"/>
    <n v="37"/>
    <n v="50"/>
    <x v="4"/>
    <n v="75"/>
    <x v="9"/>
  </r>
  <r>
    <s v="AMG"/>
    <s v="Natanael Cano, Gabito Ballesteros, Peso Pluma"/>
    <n v="3"/>
    <x v="2"/>
    <n v="11"/>
    <n v="24"/>
    <n v="995"/>
    <n v="19"/>
    <n v="463564958"/>
    <n v="12"/>
    <n v="117"/>
    <x v="55"/>
    <n v="77"/>
    <x v="13"/>
  </r>
  <r>
    <s v="Phir Aur Kya Chahiye (From &quot;Zara Hatke Zara Bachke&quot;)"/>
    <s v="Arijit Singh, Sachin-Jigar, Amitabha Bhattacharya"/>
    <n v="3"/>
    <x v="0"/>
    <n v="5"/>
    <n v="15"/>
    <n v="178"/>
    <n v="6"/>
    <n v="64533040"/>
    <n v="6"/>
    <n v="71"/>
    <x v="7"/>
    <n v="56"/>
    <x v="47"/>
  </r>
  <r>
    <s v="S-Class"/>
    <s v="Stray Kids"/>
    <n v="1"/>
    <x v="0"/>
    <n v="6"/>
    <n v="2"/>
    <n v="290"/>
    <n v="19"/>
    <n v="65496046"/>
    <n v="9"/>
    <n v="101"/>
    <x v="86"/>
    <n v="89"/>
    <x v="39"/>
  </r>
  <r>
    <s v="Hits Different"/>
    <s v="Taylor Swift"/>
    <n v="1"/>
    <x v="0"/>
    <n v="5"/>
    <n v="26"/>
    <n v="547"/>
    <n v="0"/>
    <n v="68616963"/>
    <n v="15"/>
    <n v="15"/>
    <x v="38"/>
    <n v="67"/>
    <x v="39"/>
  </r>
  <r>
    <s v="Chanel"/>
    <s v="Becky G, Peso Pluma"/>
    <n v="2"/>
    <x v="0"/>
    <n v="3"/>
    <n v="30"/>
    <n v="681"/>
    <n v="10"/>
    <n v="161460990"/>
    <n v="15"/>
    <n v="92"/>
    <x v="48"/>
    <n v="85"/>
    <x v="11"/>
  </r>
  <r>
    <s v="Self Love (Spider-Man: Across the Spider-Verse) (Metro Boomin &amp; Coi Leray)"/>
    <s v="Metro Boomin, Coi Leray"/>
    <n v="2"/>
    <x v="0"/>
    <n v="6"/>
    <n v="2"/>
    <n v="332"/>
    <n v="5"/>
    <n v="70106975"/>
    <n v="18"/>
    <n v="41"/>
    <x v="14"/>
    <n v="78"/>
    <x v="52"/>
  </r>
  <r>
    <s v="Area Codes"/>
    <s v="Kaliii, Kaliii"/>
    <n v="2"/>
    <x v="0"/>
    <n v="3"/>
    <n v="17"/>
    <n v="1197"/>
    <n v="13"/>
    <n v="113509496"/>
    <n v="44"/>
    <n v="34"/>
    <x v="87"/>
    <n v="82"/>
    <x v="60"/>
  </r>
  <r>
    <s v="Abcdario"/>
    <s v="Junior H, Eden Mue½ï"/>
    <n v="2"/>
    <x v="0"/>
    <n v="5"/>
    <n v="13"/>
    <n v="262"/>
    <n v="5"/>
    <n v="89933133"/>
    <n v="8"/>
    <n v="60"/>
    <x v="53"/>
    <n v="70"/>
    <x v="12"/>
  </r>
  <r>
    <s v="Obsessed"/>
    <s v="Abhijay Sharma, Riar Saab"/>
    <n v="2"/>
    <x v="2"/>
    <n v="9"/>
    <n v="29"/>
    <n v="161"/>
    <n v="6"/>
    <n v="71007139"/>
    <n v="10"/>
    <n v="79"/>
    <x v="18"/>
    <n v="80"/>
    <x v="1"/>
  </r>
  <r>
    <s v="Pi'man Dee"/>
    <s v="Semicenk, Do'u "/>
    <n v="2"/>
    <x v="0"/>
    <n v="6"/>
    <n v="2"/>
    <n v="185"/>
    <n v="3"/>
    <n v="43522589"/>
    <n v="5"/>
    <n v="6"/>
    <x v="27"/>
    <n v="73"/>
    <x v="8"/>
  </r>
  <r>
    <s v="FLOWER"/>
    <s v="JISOO"/>
    <n v="1"/>
    <x v="0"/>
    <n v="3"/>
    <n v="31"/>
    <n v="839"/>
    <n v="18"/>
    <n v="232896922"/>
    <n v="20"/>
    <n v="110"/>
    <x v="47"/>
    <n v="84"/>
    <x v="60"/>
  </r>
  <r>
    <s v="All The Way Live (Spider-Man: Across the Spider-Verse) (Metro Boomin &amp; Future, Lil Uzi Vert)"/>
    <s v="Future, Lil Uzi Vert, Metro Boomin"/>
    <n v="3"/>
    <x v="0"/>
    <n v="6"/>
    <n v="2"/>
    <n v="259"/>
    <n v="0"/>
    <n v="37126685"/>
    <n v="5"/>
    <n v="17"/>
    <x v="18"/>
    <n v="77"/>
    <x v="47"/>
  </r>
  <r>
    <s v="Eyes Closed"/>
    <s v="Ed Sheeran"/>
    <n v="1"/>
    <x v="0"/>
    <n v="3"/>
    <n v="23"/>
    <n v="2915"/>
    <n v="30"/>
    <n v="195576623"/>
    <n v="116"/>
    <n v="69"/>
    <x v="21"/>
    <n v="78"/>
    <x v="2"/>
  </r>
  <r>
    <s v="Escapism."/>
    <s v="RAYE, 070 Shake"/>
    <n v="2"/>
    <x v="2"/>
    <n v="10"/>
    <n v="12"/>
    <n v="5129"/>
    <n v="25"/>
    <n v="532336353"/>
    <n v="116"/>
    <n v="84"/>
    <x v="30"/>
    <n v="54"/>
    <x v="1"/>
  </r>
  <r>
    <s v="La Jumpa"/>
    <s v="Arcangel, Bad Bunny"/>
    <n v="2"/>
    <x v="2"/>
    <n v="11"/>
    <n v="30"/>
    <n v="3794"/>
    <n v="34"/>
    <n v="538115192"/>
    <n v="47"/>
    <n v="77"/>
    <x v="17"/>
    <n v="71"/>
    <x v="34"/>
  </r>
  <r>
    <s v="Karma (feat. Ice Spice)"/>
    <s v="Taylor Swift, Ice Spice"/>
    <n v="2"/>
    <x v="0"/>
    <n v="5"/>
    <n v="26"/>
    <n v="588"/>
    <n v="0"/>
    <n v="46142772"/>
    <n v="23"/>
    <n v="21"/>
    <x v="32"/>
    <n v="62"/>
    <x v="8"/>
  </r>
  <r>
    <s v="Superhero (Heroes &amp; Villains) [with Future &amp; Chris Brown]"/>
    <s v="Future, Chris Brown, Metro Boomin"/>
    <n v="3"/>
    <x v="2"/>
    <n v="12"/>
    <n v="2"/>
    <n v="2959"/>
    <n v="16"/>
    <n v="401036314"/>
    <n v="41"/>
    <n v="69"/>
    <x v="63"/>
    <n v="72"/>
    <x v="14"/>
  </r>
  <r>
    <s v="Las Morras"/>
    <s v="BLESSD, Peso Pluma"/>
    <n v="2"/>
    <x v="0"/>
    <n v="4"/>
    <n v="4"/>
    <n v="291"/>
    <n v="8"/>
    <n v="127026613"/>
    <n v="8"/>
    <n v="78"/>
    <x v="19"/>
    <n v="78"/>
    <x v="21"/>
  </r>
  <r>
    <s v="CHORRITO PA LAS ANIMAS"/>
    <s v="Feid"/>
    <n v="1"/>
    <x v="2"/>
    <n v="12"/>
    <n v="2"/>
    <n v="2321"/>
    <n v="36"/>
    <n v="345031710"/>
    <n v="29"/>
    <n v="65"/>
    <x v="30"/>
    <n v="74"/>
    <x v="0"/>
  </r>
  <r>
    <s v="Ch y la Pizza"/>
    <s v="Fuerza Regida, Natanael Cano"/>
    <n v="2"/>
    <x v="2"/>
    <n v="12"/>
    <n v="1"/>
    <n v="536"/>
    <n v="10"/>
    <n v="288101651"/>
    <n v="10"/>
    <n v="72"/>
    <x v="88"/>
    <n v="66"/>
    <x v="44"/>
  </r>
  <r>
    <s v="Snow On The Beach (feat. More Lana Del Rey)"/>
    <s v="Lana Del Rey, Taylor Swift"/>
    <n v="2"/>
    <x v="0"/>
    <n v="5"/>
    <n v="26"/>
    <n v="359"/>
    <n v="2"/>
    <n v="60350538"/>
    <n v="1"/>
    <n v="0"/>
    <x v="24"/>
    <n v="66"/>
    <x v="49"/>
  </r>
  <r>
    <s v="Players"/>
    <s v="Coi Leray"/>
    <n v="1"/>
    <x v="2"/>
    <n v="11"/>
    <n v="30"/>
    <n v="4096"/>
    <n v="6"/>
    <n v="335074782"/>
    <n v="118"/>
    <n v="48"/>
    <x v="86"/>
    <n v="95"/>
    <x v="32"/>
  </r>
  <r>
    <s v="Bite Me"/>
    <s v="ENHYPEN"/>
    <n v="1"/>
    <x v="0"/>
    <n v="5"/>
    <n v="22"/>
    <n v="349"/>
    <n v="69"/>
    <n v="76767396"/>
    <n v="8"/>
    <n v="96"/>
    <x v="86"/>
    <n v="80"/>
    <x v="39"/>
  </r>
  <r>
    <s v="Stand By Me (feat. Morgan Wallen)"/>
    <s v="Lil Durk, Morgan Wallen"/>
    <n v="2"/>
    <x v="0"/>
    <n v="5"/>
    <n v="26"/>
    <n v="381"/>
    <n v="5"/>
    <n v="46065667"/>
    <n v="23"/>
    <n v="82"/>
    <x v="35"/>
    <n v="76"/>
    <x v="5"/>
  </r>
  <r>
    <s v="Normal"/>
    <s v="Feid"/>
    <n v="1"/>
    <x v="2"/>
    <n v="7"/>
    <n v="8"/>
    <n v="2461"/>
    <n v="36"/>
    <n v="459276435"/>
    <n v="47"/>
    <n v="66"/>
    <x v="3"/>
    <n v="71"/>
    <x v="29"/>
  </r>
  <r>
    <s v="Hummingbird (Metro Boomin &amp; James Blake)"/>
    <s v="James Blake, Metro Boomin"/>
    <n v="2"/>
    <x v="0"/>
    <n v="6"/>
    <n v="2"/>
    <n v="277"/>
    <n v="1"/>
    <n v="39666245"/>
    <n v="1"/>
    <n v="20"/>
    <x v="45"/>
    <n v="59"/>
    <x v="44"/>
  </r>
  <r>
    <s v="Seu Brilho Sumiu - Ao Vivo"/>
    <s v="Israel &amp; Rodolffo, Mari Fernandez"/>
    <n v="2"/>
    <x v="0"/>
    <n v="3"/>
    <n v="1"/>
    <n v="967"/>
    <n v="5"/>
    <n v="138517666"/>
    <n v="7"/>
    <n v="29"/>
    <x v="77"/>
    <n v="63"/>
    <x v="55"/>
  </r>
  <r>
    <s v="Bad Habit"/>
    <s v="Steve Lacy"/>
    <n v="1"/>
    <x v="2"/>
    <n v="6"/>
    <n v="29"/>
    <n v="8186"/>
    <n v="12"/>
    <n v="822633917"/>
    <n v="155"/>
    <n v="72"/>
    <x v="89"/>
    <n v="69"/>
    <x v="61"/>
  </r>
  <r>
    <s v="CUFF IT"/>
    <s v="Beyonce"/>
    <n v="1"/>
    <x v="2"/>
    <n v="7"/>
    <n v="29"/>
    <n v="7842"/>
    <n v="10"/>
    <n v="595900742"/>
    <n v="215"/>
    <n v="88"/>
    <x v="71"/>
    <n v="78"/>
    <x v="50"/>
  </r>
  <r>
    <s v="Lilith (feat. SUGA of BTS) (Diablo IV Anthem)"/>
    <s v="Halsey, Suga"/>
    <n v="2"/>
    <x v="0"/>
    <n v="6"/>
    <n v="5"/>
    <n v="215"/>
    <n v="6"/>
    <n v="51985779"/>
    <n v="6"/>
    <n v="14"/>
    <x v="61"/>
    <n v="43"/>
    <x v="1"/>
  </r>
  <r>
    <n v="69"/>
    <s v="Nicky Jam, Feid"/>
    <n v="2"/>
    <x v="0"/>
    <n v="5"/>
    <n v="18"/>
    <n v="1134"/>
    <n v="22"/>
    <n v="57945987"/>
    <n v="39"/>
    <n v="14"/>
    <x v="59"/>
    <n v="79"/>
    <x v="8"/>
  </r>
  <r>
    <s v="Ni'a Bo"/>
    <s v="Sean Paul, Feid"/>
    <n v="2"/>
    <x v="0"/>
    <n v="4"/>
    <n v="21"/>
    <n v="1305"/>
    <n v="34"/>
    <n v="115010040"/>
    <n v="29"/>
    <n v="26"/>
    <x v="90"/>
    <n v="82"/>
    <x v="8"/>
  </r>
  <r>
    <s v="Search &amp; Rescue"/>
    <s v="Drake"/>
    <n v="1"/>
    <x v="0"/>
    <n v="4"/>
    <n v="7"/>
    <n v="2066"/>
    <n v="6"/>
    <n v="175097833"/>
    <n v="58"/>
    <n v="70"/>
    <x v="51"/>
    <n v="82"/>
    <x v="45"/>
  </r>
  <r>
    <s v="AMERICA HAS A PROBLEM (feat. Kendrick Lamar)"/>
    <s v="Kendrick Lamar, Beyonce"/>
    <n v="2"/>
    <x v="0"/>
    <n v="5"/>
    <n v="19"/>
    <n v="896"/>
    <n v="0"/>
    <n v="57089066"/>
    <n v="34"/>
    <n v="2"/>
    <x v="25"/>
    <n v="78"/>
    <x v="34"/>
  </r>
  <r>
    <s v="Lavender Haze"/>
    <s v="Taylor Swift"/>
    <n v="1"/>
    <x v="2"/>
    <n v="10"/>
    <n v="21"/>
    <n v="3763"/>
    <n v="8"/>
    <n v="488386797"/>
    <n v="51"/>
    <n v="43"/>
    <x v="28"/>
    <n v="73"/>
    <x v="45"/>
  </r>
  <r>
    <s v="Link Up (Metro Boomin &amp; Don Toliver, Wizkid feat. BEAM &amp; Toian) - Spider-Verse Remix (Spider-Man: Across the Spider-Verse )"/>
    <s v="WizKid, Toian, Metro Boomin, Don Toliver, Beam"/>
    <n v="5"/>
    <x v="0"/>
    <n v="6"/>
    <n v="2"/>
    <n v="197"/>
    <n v="0"/>
    <n v="32761689"/>
    <n v="3"/>
    <n v="10"/>
    <x v="41"/>
    <n v="92"/>
    <x v="61"/>
  </r>
  <r>
    <s v="Efecto"/>
    <s v="Bad Bunny"/>
    <n v="1"/>
    <x v="2"/>
    <n v="5"/>
    <n v="6"/>
    <n v="4004"/>
    <n v="33"/>
    <n v="1047480053"/>
    <n v="34"/>
    <n v="65"/>
    <x v="27"/>
    <n v="80"/>
    <x v="9"/>
  </r>
  <r>
    <s v="Erro Gostoso - Ao Vivo"/>
    <s v="Simone Mendes"/>
    <n v="1"/>
    <x v="0"/>
    <n v="1"/>
    <n v="27"/>
    <n v="984"/>
    <n v="5"/>
    <n v="153454328"/>
    <n v="8"/>
    <n v="57"/>
    <x v="77"/>
    <n v="59"/>
    <x v="38"/>
  </r>
  <r>
    <s v="Cupido"/>
    <s v="Tini"/>
    <n v="1"/>
    <x v="0"/>
    <n v="2"/>
    <n v="14"/>
    <n v="1240"/>
    <n v="24"/>
    <n v="217672943"/>
    <n v="51"/>
    <n v="29"/>
    <x v="14"/>
    <n v="91"/>
    <x v="5"/>
  </r>
  <r>
    <s v="Just Wanna Rock"/>
    <s v="Lil Uzi Vert"/>
    <n v="1"/>
    <x v="2"/>
    <n v="10"/>
    <n v="17"/>
    <n v="3995"/>
    <n v="13"/>
    <n v="457184829"/>
    <n v="72"/>
    <n v="27"/>
    <x v="10"/>
    <n v="49"/>
    <x v="47"/>
  </r>
  <r>
    <s v="Unstoppable"/>
    <s v="Sia"/>
    <n v="1"/>
    <x v="8"/>
    <n v="1"/>
    <n v="21"/>
    <n v="7681"/>
    <n v="13"/>
    <n v="939844851"/>
    <n v="119"/>
    <n v="66"/>
    <x v="12"/>
    <n v="47"/>
    <x v="39"/>
  </r>
  <r>
    <s v="Until I Found You"/>
    <s v="Stephen Sanchez"/>
    <n v="1"/>
    <x v="13"/>
    <n v="9"/>
    <n v="1"/>
    <n v="4427"/>
    <n v="4"/>
    <n v="726434358"/>
    <n v="69"/>
    <n v="100"/>
    <x v="91"/>
    <n v="34"/>
    <x v="61"/>
  </r>
  <r>
    <s v="Rich Flex"/>
    <s v="Drake, 21 Savage"/>
    <n v="2"/>
    <x v="2"/>
    <n v="11"/>
    <n v="4"/>
    <n v="4657"/>
    <n v="18"/>
    <n v="573633020"/>
    <n v="84"/>
    <n v="84"/>
    <x v="92"/>
    <n v="56"/>
    <x v="32"/>
  </r>
  <r>
    <s v="Easy On Me"/>
    <s v="Adele"/>
    <n v="1"/>
    <x v="13"/>
    <n v="10"/>
    <n v="14"/>
    <n v="10195"/>
    <n v="20"/>
    <n v="1406111294"/>
    <n v="258"/>
    <n v="87"/>
    <x v="51"/>
    <n v="60"/>
    <x v="56"/>
  </r>
  <r>
    <s v="Cart'o B"/>
    <s v="MC Caverinha, KayBlack"/>
    <n v="2"/>
    <x v="0"/>
    <n v="5"/>
    <n v="11"/>
    <n v="269"/>
    <n v="4"/>
    <n v="71573339"/>
    <n v="7"/>
    <n v="2"/>
    <x v="65"/>
    <n v="84"/>
    <x v="40"/>
  </r>
  <r>
    <s v="Danger (Spider) (Offset &amp; JID)"/>
    <s v="Offset, JID"/>
    <n v="2"/>
    <x v="0"/>
    <n v="6"/>
    <n v="2"/>
    <n v="214"/>
    <n v="0"/>
    <n v="24975653"/>
    <n v="3"/>
    <n v="3"/>
    <x v="57"/>
    <n v="83"/>
    <x v="50"/>
  </r>
  <r>
    <s v="Oi Balde - Ao Vivo"/>
    <s v="Z' Neto &amp; Crist"/>
    <n v="1"/>
    <x v="0"/>
    <n v="2"/>
    <n v="14"/>
    <n v="845"/>
    <n v="2"/>
    <n v="145458418"/>
    <n v="12"/>
    <n v="57"/>
    <x v="65"/>
    <n v="67"/>
    <x v="18"/>
  </r>
  <r>
    <s v="The Real Slim Shady"/>
    <s v="Eminem"/>
    <n v="1"/>
    <x v="25"/>
    <n v="1"/>
    <n v="1"/>
    <n v="20763"/>
    <n v="27"/>
    <n v="1424589568"/>
    <n v="81"/>
    <n v="53"/>
    <x v="78"/>
    <n v="95"/>
    <x v="16"/>
  </r>
  <r>
    <s v="MERCHO"/>
    <s v="Migrantes, LiL CaKe, Nico Valdi"/>
    <n v="3"/>
    <x v="2"/>
    <n v="12"/>
    <n v="16"/>
    <n v="1267"/>
    <n v="20"/>
    <n v="231332117"/>
    <n v="41"/>
    <n v="22"/>
    <x v="59"/>
    <n v="84"/>
    <x v="25"/>
  </r>
  <r>
    <s v="The Color Violet"/>
    <s v="Tory Lanez"/>
    <n v="1"/>
    <x v="13"/>
    <n v="12"/>
    <n v="10"/>
    <n v="2585"/>
    <n v="32"/>
    <n v="415932686"/>
    <n v="3"/>
    <n v="79"/>
    <x v="86"/>
    <n v="65"/>
    <x v="2"/>
  </r>
  <r>
    <s v="Glimpse of Us"/>
    <s v="Joji"/>
    <n v="1"/>
    <x v="2"/>
    <n v="6"/>
    <n v="10"/>
    <n v="6330"/>
    <n v="6"/>
    <n v="988515741"/>
    <n v="109"/>
    <n v="42"/>
    <x v="3"/>
    <n v="44"/>
    <x v="62"/>
  </r>
  <r>
    <s v="Mejor Que Yo"/>
    <s v="Mambo Kingz, DJ Luian, Anuel Aa"/>
    <n v="3"/>
    <x v="0"/>
    <n v="5"/>
    <n v="4"/>
    <n v="675"/>
    <n v="1"/>
    <n v="50847624"/>
    <n v="9"/>
    <n v="13"/>
    <x v="93"/>
    <n v="62"/>
    <x v="16"/>
  </r>
  <r>
    <s v="Curtains"/>
    <s v="Ed Sheeran"/>
    <n v="1"/>
    <x v="0"/>
    <n v="5"/>
    <n v="5"/>
    <n v="715"/>
    <n v="0"/>
    <n v="39893489"/>
    <n v="37"/>
    <n v="3"/>
    <x v="94"/>
    <n v="50"/>
    <x v="6"/>
  </r>
  <r>
    <s v="UNFORGIVEN (feat. Nile Rodgers)"/>
    <s v="Nile Rodgers, LE SSERAFIM"/>
    <n v="2"/>
    <x v="0"/>
    <n v="5"/>
    <n v="1"/>
    <n v="327"/>
    <n v="13"/>
    <n v="92035115"/>
    <n v="14"/>
    <n v="110"/>
    <x v="78"/>
    <n v="80"/>
    <x v="35"/>
  </r>
  <r>
    <s v="Haegeum"/>
    <s v="Agust D"/>
    <n v="1"/>
    <x v="0"/>
    <n v="4"/>
    <n v="21"/>
    <n v="244"/>
    <n v="12"/>
    <n v="118810253"/>
    <n v="6"/>
    <n v="84"/>
    <x v="81"/>
    <n v="70"/>
    <x v="21"/>
  </r>
  <r>
    <s v="Conex'es de M'fia (feat. Rich "/>
    <s v="Rich The Kid, Matue"/>
    <n v="2"/>
    <x v="0"/>
    <n v="4"/>
    <n v="30"/>
    <n v="385"/>
    <n v="4"/>
    <n v="77233241"/>
    <n v="17"/>
    <n v="7"/>
    <x v="63"/>
    <n v="77"/>
    <x v="5"/>
  </r>
  <r>
    <s v="MIENTRAS ME CURO DEL CORA"/>
    <s v="Karol G"/>
    <n v="1"/>
    <x v="0"/>
    <n v="2"/>
    <n v="24"/>
    <n v="1020"/>
    <n v="35"/>
    <n v="206399629"/>
    <n v="15"/>
    <n v="26"/>
    <x v="73"/>
    <n v="52"/>
    <x v="9"/>
  </r>
  <r>
    <s v="Never Felt So Alone"/>
    <s v="Labrinth"/>
    <n v="1"/>
    <x v="0"/>
    <n v="4"/>
    <n v="7"/>
    <n v="1730"/>
    <n v="3"/>
    <n v="117747907"/>
    <n v="46"/>
    <n v="5"/>
    <x v="27"/>
    <n v="44"/>
    <x v="43"/>
  </r>
  <r>
    <s v="X SI VOLVEMOS"/>
    <s v="Karol G, Romeo Santos"/>
    <n v="2"/>
    <x v="0"/>
    <n v="2"/>
    <n v="2"/>
    <n v="2127"/>
    <n v="33"/>
    <n v="266624541"/>
    <n v="45"/>
    <n v="80"/>
    <x v="93"/>
    <n v="79"/>
    <x v="39"/>
  </r>
  <r>
    <s v="ceilings"/>
    <s v="Lizzy McAlpine"/>
    <n v="1"/>
    <x v="2"/>
    <n v="4"/>
    <n v="8"/>
    <n v="3242"/>
    <n v="9"/>
    <n v="293186992"/>
    <n v="67"/>
    <n v="55"/>
    <x v="6"/>
    <n v="51"/>
    <x v="63"/>
  </r>
  <r>
    <s v="Cupid"/>
    <s v="Fifty Fifty"/>
    <n v="1"/>
    <x v="0"/>
    <n v="2"/>
    <n v="24"/>
    <n v="526"/>
    <n v="10"/>
    <n v="139681964"/>
    <n v="15"/>
    <n v="93"/>
    <x v="14"/>
    <n v="77"/>
    <x v="16"/>
  </r>
  <r>
    <s v="I AM"/>
    <s v="IVE"/>
    <n v="1"/>
    <x v="0"/>
    <n v="4"/>
    <n v="10"/>
    <n v="366"/>
    <n v="15"/>
    <n v="123132751"/>
    <n v="16"/>
    <n v="102"/>
    <x v="22"/>
    <n v="68"/>
    <x v="35"/>
  </r>
  <r>
    <s v="Cupid ' Twin Ver. (FIFTY FIFTY) ' Spe"/>
    <s v="sped up 8282"/>
    <n v="1"/>
    <x v="26"/>
    <n v="1"/>
    <n v="1"/>
    <n v="472"/>
    <n v="2"/>
    <n v="103762518"/>
    <n v="0"/>
    <n v="0"/>
    <x v="4"/>
    <n v="74"/>
    <x v="13"/>
  </r>
  <r>
    <s v="Shorty Party"/>
    <s v="Cartel De Santa, La Kelly"/>
    <n v="2"/>
    <x v="0"/>
    <n v="3"/>
    <n v="4"/>
    <n v="432"/>
    <n v="12"/>
    <n v="162887075"/>
    <n v="8"/>
    <n v="14"/>
    <x v="30"/>
    <n v="93"/>
    <x v="40"/>
  </r>
  <r>
    <s v="Super"/>
    <s v="SEVENTEEN"/>
    <n v="1"/>
    <x v="0"/>
    <n v="4"/>
    <n v="24"/>
    <n v="271"/>
    <n v="12"/>
    <n v="91221625"/>
    <n v="16"/>
    <n v="103"/>
    <x v="40"/>
    <n v="77"/>
    <x v="35"/>
  </r>
  <r>
    <s v="Slut Me Out"/>
    <s v="NLE Choppa"/>
    <n v="1"/>
    <x v="2"/>
    <n v="4"/>
    <n v="22"/>
    <n v="816"/>
    <n v="4"/>
    <n v="190490915"/>
    <n v="21"/>
    <n v="4"/>
    <x v="66"/>
    <n v="94"/>
    <x v="23"/>
  </r>
  <r>
    <s v="Double Fantasy (with Future)"/>
    <s v="The Weeknd, Future"/>
    <n v="2"/>
    <x v="0"/>
    <n v="4"/>
    <n v="21"/>
    <n v="1169"/>
    <n v="0"/>
    <n v="96180277"/>
    <n v="36"/>
    <n v="65"/>
    <x v="72"/>
    <n v="60"/>
    <x v="41"/>
  </r>
  <r>
    <s v="All Of The Girls You Loved Before"/>
    <s v="Taylor Swift"/>
    <n v="1"/>
    <x v="1"/>
    <n v="8"/>
    <n v="23"/>
    <n v="1282"/>
    <n v="6"/>
    <n v="185240616"/>
    <n v="26"/>
    <n v="6"/>
    <x v="30"/>
    <n v="72"/>
    <x v="40"/>
  </r>
  <r>
    <s v="PROVENZA"/>
    <s v="Karol G"/>
    <n v="1"/>
    <x v="2"/>
    <n v="4"/>
    <n v="21"/>
    <n v="6587"/>
    <n v="34"/>
    <n v="885093467"/>
    <n v="114"/>
    <n v="104"/>
    <x v="95"/>
    <n v="87"/>
    <x v="32"/>
  </r>
  <r>
    <s v="Princess Diana (with Nicki Minaj)"/>
    <s v="Nicki Minaj, Ice Spice"/>
    <n v="2"/>
    <x v="0"/>
    <n v="4"/>
    <n v="14"/>
    <n v="1444"/>
    <n v="4"/>
    <n v="104992946"/>
    <n v="0"/>
    <n v="0"/>
    <x v="6"/>
    <n v="90"/>
    <x v="11"/>
  </r>
  <r>
    <s v="Di Que Si"/>
    <s v="Grupo Marca Registrada, Grupo Frontera"/>
    <n v="2"/>
    <x v="0"/>
    <n v="2"/>
    <n v="3"/>
    <n v="356"/>
    <n v="10"/>
    <n v="147290338"/>
    <n v="4"/>
    <n v="64"/>
    <x v="96"/>
    <n v="57"/>
    <x v="14"/>
  </r>
  <r>
    <s v="Shivers"/>
    <s v="Ed Sheeran"/>
    <n v="1"/>
    <x v="13"/>
    <n v="9"/>
    <n v="9"/>
    <n v="10147"/>
    <n v="30"/>
    <n v="1302184087"/>
    <n v="234"/>
    <n v="71"/>
    <x v="5"/>
    <n v="79"/>
    <x v="19"/>
  </r>
  <r>
    <s v="Igualito a Mi Ape"/>
    <s v="Fuerza Regida, Peso Pluma"/>
    <n v="2"/>
    <x v="2"/>
    <n v="12"/>
    <n v="30"/>
    <n v="265"/>
    <n v="6"/>
    <n v="158950978"/>
    <n v="8"/>
    <n v="84"/>
    <x v="80"/>
    <n v="76"/>
    <x v="31"/>
  </r>
  <r>
    <s v="Shoong! (feat. LISA of BLACKPINK)"/>
    <s v="TAEYANG, Lisa"/>
    <n v="2"/>
    <x v="0"/>
    <n v="4"/>
    <n v="25"/>
    <n v="351"/>
    <n v="9"/>
    <n v="76910644"/>
    <n v="16"/>
    <n v="90"/>
    <x v="24"/>
    <n v="76"/>
    <x v="34"/>
  </r>
  <r>
    <s v="Komang"/>
    <s v="Raim Laode"/>
    <n v="1"/>
    <x v="2"/>
    <n v="8"/>
    <n v="16"/>
    <n v="158"/>
    <n v="4"/>
    <n v="137123880"/>
    <n v="5"/>
    <n v="6"/>
    <x v="35"/>
    <n v="70"/>
    <x v="43"/>
  </r>
  <r>
    <s v="DESPECHe"/>
    <s v="ROSALIA"/>
    <n v="1"/>
    <x v="2"/>
    <n v="7"/>
    <n v="28"/>
    <n v="7613"/>
    <n v="33"/>
    <n v="782369383"/>
    <n v="180"/>
    <n v="90"/>
    <x v="8"/>
    <n v="92"/>
    <x v="8"/>
  </r>
  <r>
    <s v="Made You Look"/>
    <s v="Meghan Trainor"/>
    <n v="1"/>
    <x v="2"/>
    <n v="10"/>
    <n v="21"/>
    <n v="3956"/>
    <n v="6"/>
    <n v="502574952"/>
    <n v="142"/>
    <n v="23"/>
    <x v="80"/>
    <n v="84"/>
    <x v="2"/>
  </r>
  <r>
    <s v="Watch This - ARIZONATEARS Pluggnb Remix"/>
    <s v="sped up nightcore, ARIZONATEARS, Lil Uzi Vert"/>
    <n v="3"/>
    <x v="0"/>
    <n v="2"/>
    <n v="5"/>
    <n v="1638"/>
    <n v="10"/>
    <n v="207033255"/>
    <n v="0"/>
    <n v="0"/>
    <x v="8"/>
    <n v="69"/>
    <x v="48"/>
  </r>
  <r>
    <s v="No Se Va"/>
    <s v="Grupo Frontera"/>
    <n v="1"/>
    <x v="2"/>
    <n v="4"/>
    <n v="28"/>
    <n v="924"/>
    <n v="18"/>
    <n v="404887295"/>
    <n v="17"/>
    <n v="80"/>
    <x v="42"/>
    <n v="59"/>
    <x v="2"/>
  </r>
  <r>
    <s v="Punto G"/>
    <s v="Quevedo"/>
    <n v="1"/>
    <x v="2"/>
    <n v="11"/>
    <n v="4"/>
    <n v="1985"/>
    <n v="35"/>
    <n v="381161027"/>
    <n v="34"/>
    <n v="26"/>
    <x v="1"/>
    <n v="75"/>
    <x v="6"/>
  </r>
  <r>
    <s v="Lovers Rock"/>
    <s v="TV Girl"/>
    <n v="1"/>
    <x v="4"/>
    <n v="6"/>
    <n v="5"/>
    <n v="6339"/>
    <n v="13"/>
    <n v="466231982"/>
    <n v="3"/>
    <n v="1"/>
    <x v="86"/>
    <n v="56"/>
    <x v="22"/>
  </r>
  <r>
    <s v="METAMORPHOSIS"/>
    <s v="INTERWORLD"/>
    <n v="1"/>
    <x v="13"/>
    <n v="11"/>
    <n v="25"/>
    <n v="1561"/>
    <n v="24"/>
    <n v="357580552"/>
    <n v="18"/>
    <n v="78"/>
    <x v="97"/>
    <n v="59"/>
    <x v="30"/>
  </r>
  <r>
    <s v="Mami Chula"/>
    <s v="Quevedo, Jhayco"/>
    <n v="2"/>
    <x v="0"/>
    <n v="4"/>
    <n v="27"/>
    <n v="875"/>
    <n v="4"/>
    <n v="61105704"/>
    <n v="17"/>
    <n v="13"/>
    <x v="14"/>
    <n v="80"/>
    <x v="34"/>
  </r>
  <r>
    <s v="En Paris"/>
    <s v="El Chachito, Junior H"/>
    <n v="2"/>
    <x v="2"/>
    <n v="12"/>
    <n v="24"/>
    <n v="406"/>
    <n v="5"/>
    <n v="198275403"/>
    <n v="3"/>
    <n v="31"/>
    <x v="68"/>
    <n v="70"/>
    <x v="9"/>
  </r>
  <r>
    <s v="Set Me Free Pt.2"/>
    <s v="Jimin"/>
    <n v="1"/>
    <x v="0"/>
    <n v="3"/>
    <n v="17"/>
    <n v="340"/>
    <n v="13"/>
    <n v="168448603"/>
    <n v="4"/>
    <n v="71"/>
    <x v="48"/>
    <n v="59"/>
    <x v="10"/>
  </r>
  <r>
    <s v="I Was Never There"/>
    <s v="The Weeknd, Gesaffelstein"/>
    <n v="2"/>
    <x v="5"/>
    <n v="3"/>
    <n v="29"/>
    <n v="4188"/>
    <n v="15"/>
    <n v="705469769"/>
    <n v="30"/>
    <n v="70"/>
    <x v="64"/>
    <n v="32"/>
    <x v="1"/>
  </r>
  <r>
    <s v="Don't ever say love me (feat. RM of BTS)"/>
    <s v="RM, Colde"/>
    <n v="2"/>
    <x v="0"/>
    <n v="5"/>
    <n v="4"/>
    <n v="105"/>
    <n v="0"/>
    <n v="34502215"/>
    <n v="5"/>
    <n v="9"/>
    <x v="80"/>
    <n v="54"/>
    <x v="9"/>
  </r>
  <r>
    <s v="Shut Down"/>
    <s v="BLACKPINK"/>
    <n v="1"/>
    <x v="2"/>
    <n v="9"/>
    <n v="16"/>
    <n v="1524"/>
    <n v="17"/>
    <n v="482175240"/>
    <n v="53"/>
    <n v="120"/>
    <x v="24"/>
    <n v="82"/>
    <x v="50"/>
  </r>
  <r>
    <s v="Gato de Noche"/>
    <s v="Nengo Flow, Bad Bunny"/>
    <n v="2"/>
    <x v="2"/>
    <n v="12"/>
    <n v="22"/>
    <n v="2651"/>
    <n v="30"/>
    <n v="304118600"/>
    <n v="21"/>
    <n v="55"/>
    <x v="46"/>
    <n v="89"/>
    <x v="16"/>
  </r>
  <r>
    <s v="Call Out My Name"/>
    <s v="The Weeknd"/>
    <n v="1"/>
    <x v="5"/>
    <n v="3"/>
    <n v="29"/>
    <n v="11087"/>
    <n v="6"/>
    <n v="1449799467"/>
    <n v="151"/>
    <n v="107"/>
    <x v="35"/>
    <n v="45"/>
    <x v="44"/>
  </r>
  <r>
    <s v="Like Crazy (English Version)"/>
    <s v="Jimin"/>
    <n v="1"/>
    <x v="0"/>
    <n v="3"/>
    <n v="24"/>
    <n v="373"/>
    <n v="19"/>
    <n v="173627354"/>
    <n v="4"/>
    <n v="72"/>
    <x v="14"/>
    <n v="62"/>
    <x v="6"/>
  </r>
  <r>
    <s v="Rosa Pastel"/>
    <s v="Jasiel Nu'ez, Peso P"/>
    <n v="2"/>
    <x v="0"/>
    <n v="2"/>
    <n v="2"/>
    <n v="200"/>
    <n v="4"/>
    <n v="90025258"/>
    <n v="8"/>
    <n v="77"/>
    <x v="17"/>
    <n v="70"/>
    <x v="11"/>
  </r>
  <r>
    <s v="Sunroof"/>
    <s v="Nicky Youre, Dazy"/>
    <n v="2"/>
    <x v="13"/>
    <n v="12"/>
    <n v="3"/>
    <n v="3741"/>
    <n v="17"/>
    <n v="652704649"/>
    <n v="156"/>
    <n v="35"/>
    <x v="49"/>
    <n v="77"/>
    <x v="7"/>
  </r>
  <r>
    <s v="Lose Yourself - Soundtrack Version"/>
    <s v="Eminem"/>
    <n v="1"/>
    <x v="19"/>
    <n v="1"/>
    <n v="1"/>
    <n v="32502"/>
    <n v="21"/>
    <n v="1829992958"/>
    <n v="247"/>
    <n v="54"/>
    <x v="39"/>
    <n v="70"/>
    <x v="13"/>
  </r>
  <r>
    <s v="Superman"/>
    <s v="Eminem, Dina Rae"/>
    <n v="2"/>
    <x v="19"/>
    <n v="5"/>
    <n v="26"/>
    <n v="7615"/>
    <n v="14"/>
    <n v="655466831"/>
    <n v="18"/>
    <n v="51"/>
    <x v="8"/>
    <n v="80"/>
    <x v="6"/>
  </r>
  <r>
    <s v="Mas Rica Que Ayer"/>
    <s v="Mambo Kingz, DJ Luian, Anuel Aa"/>
    <n v="3"/>
    <x v="0"/>
    <n v="3"/>
    <n v="2"/>
    <n v="1208"/>
    <n v="34"/>
    <n v="146409671"/>
    <n v="10"/>
    <n v="41"/>
    <x v="46"/>
    <n v="82"/>
    <x v="18"/>
  </r>
  <r>
    <s v="People Pt.2 (feat. IU)"/>
    <s v="IU, Agust D"/>
    <n v="2"/>
    <x v="0"/>
    <n v="4"/>
    <n v="7"/>
    <n v="209"/>
    <n v="4"/>
    <n v="95816024"/>
    <n v="4"/>
    <n v="45"/>
    <x v="13"/>
    <n v="73"/>
    <x v="41"/>
  </r>
  <r>
    <s v="REMIX EXCLUSIVO"/>
    <s v="Feid"/>
    <n v="1"/>
    <x v="0"/>
    <n v="3"/>
    <n v="17"/>
    <n v="1235"/>
    <n v="9"/>
    <n v="117206995"/>
    <n v="20"/>
    <n v="8"/>
    <x v="98"/>
    <n v="65"/>
    <x v="29"/>
  </r>
  <r>
    <s v="Arc'ngel: Bzrp Music Sessions, Vol"/>
    <s v="Arcangel, Bizarrap"/>
    <n v="2"/>
    <x v="0"/>
    <n v="3"/>
    <n v="22"/>
    <n v="654"/>
    <n v="3"/>
    <n v="100409613"/>
    <n v="11"/>
    <n v="3"/>
    <x v="47"/>
    <n v="72"/>
    <x v="39"/>
  </r>
  <r>
    <s v="DOGTOOTH"/>
    <s v="Tyler, The Creator"/>
    <n v="2"/>
    <x v="0"/>
    <n v="3"/>
    <n v="27"/>
    <n v="1479"/>
    <n v="0"/>
    <n v="80758350"/>
    <n v="23"/>
    <n v="0"/>
    <x v="15"/>
    <n v="71"/>
    <x v="26"/>
  </r>
  <r>
    <d v="1899-12-30T10:35:00"/>
    <s v="Ti'sto, Tate M"/>
    <n v="2"/>
    <x v="2"/>
    <n v="11"/>
    <n v="1"/>
    <n v="4942"/>
    <n v="26"/>
    <n v="325592432"/>
    <n v="190"/>
    <n v="104"/>
    <x v="14"/>
    <n v="70"/>
    <x v="25"/>
  </r>
  <r>
    <s v="SORRY NOT SORRY"/>
    <s v="Tyler, The Creator"/>
    <n v="2"/>
    <x v="0"/>
    <n v="3"/>
    <n v="31"/>
    <n v="709"/>
    <n v="0"/>
    <n v="58473276"/>
    <n v="8"/>
    <n v="1"/>
    <x v="30"/>
    <n v="48"/>
    <x v="4"/>
  </r>
  <r>
    <s v="HAPPY"/>
    <s v="NF"/>
    <n v="1"/>
    <x v="0"/>
    <n v="3"/>
    <n v="25"/>
    <n v="660"/>
    <n v="0"/>
    <n v="52722996"/>
    <n v="22"/>
    <n v="7"/>
    <x v="38"/>
    <n v="73"/>
    <x v="19"/>
  </r>
  <r>
    <s v="La Bebe"/>
    <s v="Yng Lvcas"/>
    <n v="1"/>
    <x v="13"/>
    <n v="12"/>
    <n v="24"/>
    <n v="489"/>
    <n v="17"/>
    <n v="191945597"/>
    <n v="4"/>
    <n v="11"/>
    <x v="3"/>
    <n v="78"/>
    <x v="64"/>
  </r>
  <r>
    <s v="I Know - PR1SVX Edit"/>
    <s v="Kanii, PR1ISVX"/>
    <n v="2"/>
    <x v="0"/>
    <n v="3"/>
    <n v="24"/>
    <n v="407"/>
    <n v="0"/>
    <n v="77377503"/>
    <n v="16"/>
    <n v="15"/>
    <x v="35"/>
    <n v="67"/>
    <x v="6"/>
  </r>
  <r>
    <s v="Late Night Talking"/>
    <s v="Harry Styles"/>
    <n v="1"/>
    <x v="2"/>
    <n v="5"/>
    <n v="20"/>
    <n v="7461"/>
    <n v="8"/>
    <n v="743693613"/>
    <n v="166"/>
    <n v="42"/>
    <x v="71"/>
    <n v="71"/>
    <x v="13"/>
  </r>
  <r>
    <s v="Lee½"/>
    <s v="Mar'lia Mendo"/>
    <n v="1"/>
    <x v="2"/>
    <n v="12"/>
    <n v="9"/>
    <n v="993"/>
    <n v="4"/>
    <n v="267789608"/>
    <n v="30"/>
    <n v="84"/>
    <x v="8"/>
    <n v="74"/>
    <x v="22"/>
  </r>
  <r>
    <s v="Save Your Tears (with Ariana Grande) (Remix)"/>
    <s v="Ariana Grande, The Weeknd"/>
    <n v="2"/>
    <x v="7"/>
    <n v="3"/>
    <n v="20"/>
    <n v="9161"/>
    <n v="5"/>
    <n v="1221813483"/>
    <n v="240"/>
    <n v="98"/>
    <x v="11"/>
    <n v="65"/>
    <x v="25"/>
  </r>
  <r>
    <s v="Something in the Orange"/>
    <s v="Zach Bryan"/>
    <n v="1"/>
    <x v="2"/>
    <n v="4"/>
    <n v="22"/>
    <n v="3282"/>
    <n v="12"/>
    <n v="449701773"/>
    <n v="67"/>
    <n v="84"/>
    <x v="24"/>
    <n v="59"/>
    <x v="65"/>
  </r>
  <r>
    <s v="VOID"/>
    <s v="Melanie Martinez"/>
    <n v="1"/>
    <x v="0"/>
    <n v="3"/>
    <n v="29"/>
    <n v="596"/>
    <n v="0"/>
    <n v="67070410"/>
    <n v="29"/>
    <n v="9"/>
    <x v="7"/>
    <n v="72"/>
    <x v="16"/>
  </r>
  <r>
    <s v="Dijeron Que No La Iba Lograr"/>
    <s v="Fuerza Regida, Chino Pacas"/>
    <n v="2"/>
    <x v="0"/>
    <n v="3"/>
    <n v="14"/>
    <n v="320"/>
    <n v="6"/>
    <n v="116334601"/>
    <n v="5"/>
    <n v="48"/>
    <x v="51"/>
    <n v="70"/>
    <x v="25"/>
  </r>
  <r>
    <s v="Midnight Rain"/>
    <s v="Taylor Swift"/>
    <n v="1"/>
    <x v="2"/>
    <n v="10"/>
    <n v="21"/>
    <n v="2612"/>
    <n v="4"/>
    <n v="433356509"/>
    <n v="19"/>
    <n v="29"/>
    <x v="16"/>
    <n v="64"/>
    <x v="56"/>
  </r>
  <r>
    <s v="If We Ever Broke Up"/>
    <s v="Mae Stephens"/>
    <n v="1"/>
    <x v="0"/>
    <n v="2"/>
    <n v="10"/>
    <n v="2040"/>
    <n v="4"/>
    <n v="165584767"/>
    <n v="81"/>
    <n v="27"/>
    <x v="52"/>
    <n v="90"/>
    <x v="13"/>
  </r>
  <r>
    <s v="You Proof"/>
    <s v="Morgan Wallen"/>
    <n v="1"/>
    <x v="2"/>
    <n v="5"/>
    <n v="13"/>
    <n v="2128"/>
    <n v="9"/>
    <n v="367814306"/>
    <n v="37"/>
    <n v="88"/>
    <x v="14"/>
    <n v="73"/>
    <x v="20"/>
  </r>
  <r>
    <s v="LA INOCENTE"/>
    <s v="Feid, Mora"/>
    <n v="2"/>
    <x v="2"/>
    <n v="4"/>
    <n v="1"/>
    <n v="2598"/>
    <n v="37"/>
    <n v="477033549"/>
    <n v="28"/>
    <n v="57"/>
    <x v="1"/>
    <n v="76"/>
    <x v="25"/>
  </r>
  <r>
    <s v="Malas Decisiones"/>
    <s v="Kenia OS"/>
    <n v="1"/>
    <x v="2"/>
    <n v="10"/>
    <n v="26"/>
    <n v="542"/>
    <n v="2"/>
    <n v="156214700"/>
    <n v="23"/>
    <n v="2"/>
    <x v="24"/>
    <n v="81"/>
    <x v="25"/>
  </r>
  <r>
    <s v="Murder In My Mind"/>
    <s v="Kordhell"/>
    <n v="1"/>
    <x v="2"/>
    <n v="1"/>
    <n v="21"/>
    <n v="2459"/>
    <n v="20"/>
    <n v="448843705"/>
    <n v="20"/>
    <n v="68"/>
    <x v="14"/>
    <n v="71"/>
    <x v="28"/>
  </r>
  <r>
    <s v="Gangsta's Paradise"/>
    <s v="Coolio, L.V."/>
    <n v="2"/>
    <x v="27"/>
    <n v="7"/>
    <n v="11"/>
    <n v="10624"/>
    <n v="17"/>
    <n v="1357608774"/>
    <n v="21"/>
    <n v="0"/>
    <x v="73"/>
    <n v="63"/>
    <x v="23"/>
  </r>
  <r>
    <s v="CAIRO"/>
    <s v="Karol G, Ovy On The Drums"/>
    <n v="2"/>
    <x v="2"/>
    <n v="11"/>
    <n v="13"/>
    <n v="2418"/>
    <n v="26"/>
    <n v="294352144"/>
    <n v="52"/>
    <n v="66"/>
    <x v="71"/>
    <n v="95"/>
    <x v="50"/>
  </r>
  <r>
    <s v="I Love You So"/>
    <s v="The Walters"/>
    <n v="1"/>
    <x v="4"/>
    <n v="11"/>
    <n v="28"/>
    <n v="7536"/>
    <n v="7"/>
    <n v="972164968"/>
    <n v="44"/>
    <n v="19"/>
    <x v="99"/>
    <n v="58"/>
    <x v="18"/>
  </r>
  <r>
    <s v="Dark Red"/>
    <s v="Steve Lacy"/>
    <n v="1"/>
    <x v="6"/>
    <n v="2"/>
    <n v="20"/>
    <n v="10431"/>
    <n v="7"/>
    <n v="920045682"/>
    <n v="71"/>
    <n v="53"/>
    <x v="54"/>
    <n v="60"/>
    <x v="39"/>
  </r>
  <r>
    <s v="Say You Won't Let Go"/>
    <s v="James Arthur"/>
    <n v="1"/>
    <x v="8"/>
    <n v="9"/>
    <n v="9"/>
    <n v="15722"/>
    <n v="16"/>
    <n v="2420461338"/>
    <n v="231"/>
    <n v="37"/>
    <x v="20"/>
    <n v="40"/>
    <x v="29"/>
  </r>
  <r>
    <s v="The Hills"/>
    <s v="The Weeknd"/>
    <n v="1"/>
    <x v="14"/>
    <n v="5"/>
    <n v="27"/>
    <n v="25744"/>
    <n v="4"/>
    <n v="1947371785"/>
    <n v="122"/>
    <n v="94"/>
    <x v="55"/>
    <n v="36"/>
    <x v="41"/>
  </r>
  <r>
    <s v="Heart To Heart"/>
    <s v="Mac DeMarco"/>
    <n v="1"/>
    <x v="1"/>
    <n v="5"/>
    <n v="10"/>
    <n v="1640"/>
    <n v="0"/>
    <n v="244658767"/>
    <n v="27"/>
    <n v="27"/>
    <x v="10"/>
    <n v="90"/>
    <x v="66"/>
  </r>
  <r>
    <s v="Peaches (from The Super Mario Bros. Movie)"/>
    <s v="Jack Black"/>
    <n v="1"/>
    <x v="0"/>
    <n v="4"/>
    <n v="7"/>
    <n v="34"/>
    <n v="0"/>
    <n v="68216992"/>
    <n v="0"/>
    <n v="0"/>
    <x v="1"/>
    <n v="71"/>
    <x v="67"/>
  </r>
  <r>
    <s v="Marisola - Remix"/>
    <s v="Duki, NICKI NICOLE, Cris Mj, Standly, Stars Music Chile"/>
    <n v="5"/>
    <x v="2"/>
    <n v="12"/>
    <n v="15"/>
    <n v="1845"/>
    <n v="16"/>
    <n v="223582566"/>
    <n v="20"/>
    <n v="8"/>
    <x v="31"/>
    <n v="77"/>
    <x v="22"/>
  </r>
  <r>
    <s v="LOKERA"/>
    <s v="Brray, Rauw Alejandro, Lyanno"/>
    <n v="3"/>
    <x v="2"/>
    <n v="7"/>
    <n v="25"/>
    <n v="3301"/>
    <n v="30"/>
    <n v="471819764"/>
    <n v="72"/>
    <n v="64"/>
    <x v="50"/>
    <n v="83"/>
    <x v="0"/>
  </r>
  <r>
    <s v="Low"/>
    <s v="SZA"/>
    <n v="1"/>
    <x v="2"/>
    <n v="12"/>
    <n v="9"/>
    <n v="1911"/>
    <n v="0"/>
    <n v="272377463"/>
    <n v="23"/>
    <n v="71"/>
    <x v="80"/>
    <n v="70"/>
    <x v="47"/>
  </r>
  <r>
    <s v="Numb"/>
    <s v="Linkin Park"/>
    <n v="1"/>
    <x v="28"/>
    <n v="3"/>
    <n v="24"/>
    <n v="20111"/>
    <n v="5"/>
    <n v="1361425037"/>
    <n v="39"/>
    <n v="0"/>
    <x v="24"/>
    <n v="50"/>
    <x v="19"/>
  </r>
  <r>
    <s v="Tormenta (feat. Bad Bunny)"/>
    <s v="Gorillaz, Bad Bunny"/>
    <n v="2"/>
    <x v="0"/>
    <n v="2"/>
    <n v="24"/>
    <n v="1529"/>
    <n v="0"/>
    <n v="149778242"/>
    <n v="32"/>
    <n v="18"/>
    <x v="31"/>
    <n v="64"/>
    <x v="53"/>
  </r>
  <r>
    <s v="on the street (with J. Cole)"/>
    <s v="j-hope, J. Cole"/>
    <n v="2"/>
    <x v="0"/>
    <n v="3"/>
    <n v="3"/>
    <n v="615"/>
    <n v="2"/>
    <n v="116599790"/>
    <n v="22"/>
    <n v="82"/>
    <x v="46"/>
    <n v="68"/>
    <x v="10"/>
  </r>
  <r>
    <s v="One Thing At A Time"/>
    <s v="Morgan Wallen"/>
    <n v="1"/>
    <x v="2"/>
    <n v="12"/>
    <n v="2"/>
    <n v="811"/>
    <n v="4"/>
    <n v="148469433"/>
    <n v="11"/>
    <n v="58"/>
    <x v="51"/>
    <n v="61"/>
    <x v="33"/>
  </r>
  <r>
    <s v="Miss You"/>
    <s v="Robin Schulz, Oliver Tree"/>
    <n v="2"/>
    <x v="2"/>
    <n v="8"/>
    <n v="5"/>
    <n v="5730"/>
    <n v="10"/>
    <n v="497225336"/>
    <n v="108"/>
    <n v="16"/>
    <x v="80"/>
    <n v="59"/>
    <x v="1"/>
  </r>
  <r>
    <s v="Ain't Tha"/>
    <s v="Morgan Wallen"/>
    <n v="1"/>
    <x v="0"/>
    <n v="3"/>
    <n v="3"/>
    <n v="356"/>
    <n v="4"/>
    <n v="88791109"/>
    <n v="4"/>
    <n v="20"/>
    <x v="66"/>
    <n v="64"/>
    <x v="4"/>
  </r>
  <r>
    <s v="Thinkin' B"/>
    <s v="Morgan Wallen"/>
    <n v="1"/>
    <x v="0"/>
    <n v="3"/>
    <n v="3"/>
    <n v="604"/>
    <n v="6"/>
    <n v="125917280"/>
    <n v="22"/>
    <n v="101"/>
    <x v="16"/>
    <n v="66"/>
    <x v="6"/>
  </r>
  <r>
    <s v="Private Landing (feat. Justin Bieber &amp; Future)"/>
    <s v="Don Toliver, Future, Justin Bieber"/>
    <n v="3"/>
    <x v="0"/>
    <n v="2"/>
    <n v="23"/>
    <n v="1190"/>
    <n v="0"/>
    <n v="105062254"/>
    <n v="29"/>
    <n v="3"/>
    <x v="40"/>
    <n v="84"/>
    <x v="18"/>
  </r>
  <r>
    <s v="Everything I Love"/>
    <s v="Morgan Wallen"/>
    <n v="1"/>
    <x v="0"/>
    <n v="1"/>
    <n v="31"/>
    <n v="579"/>
    <n v="0"/>
    <n v="95623148"/>
    <n v="11"/>
    <n v="54"/>
    <x v="78"/>
    <n v="56"/>
    <x v="20"/>
  </r>
  <r>
    <s v="Heaven"/>
    <s v="Niall Horan"/>
    <n v="1"/>
    <x v="0"/>
    <n v="2"/>
    <n v="17"/>
    <n v="1553"/>
    <n v="2"/>
    <n v="144584800"/>
    <n v="61"/>
    <n v="6"/>
    <x v="1"/>
    <n v="57"/>
    <x v="6"/>
  </r>
  <r>
    <s v="LET GO"/>
    <s v="Central Cee"/>
    <n v="1"/>
    <x v="2"/>
    <n v="12"/>
    <n v="15"/>
    <n v="2301"/>
    <n v="20"/>
    <n v="298063749"/>
    <n v="49"/>
    <n v="23"/>
    <x v="70"/>
    <n v="74"/>
    <x v="54"/>
  </r>
  <r>
    <s v="Sial"/>
    <s v="Mahalini"/>
    <n v="1"/>
    <x v="0"/>
    <n v="1"/>
    <n v="23"/>
    <n v="134"/>
    <n v="4"/>
    <n v="166570053"/>
    <n v="4"/>
    <n v="6"/>
    <x v="14"/>
    <n v="56"/>
    <x v="12"/>
  </r>
  <r>
    <s v="I Wrote The Book"/>
    <s v="Morgan Wallen"/>
    <n v="1"/>
    <x v="0"/>
    <n v="1"/>
    <n v="31"/>
    <n v="430"/>
    <n v="0"/>
    <n v="83021468"/>
    <n v="15"/>
    <n v="17"/>
    <x v="4"/>
    <n v="68"/>
    <x v="31"/>
  </r>
  <r>
    <s v="Apna Bana Le (From &quot;Bhediya&quot;)"/>
    <s v="Arijit Singh, Sachin-Jigar"/>
    <n v="2"/>
    <x v="2"/>
    <n v="11"/>
    <n v="5"/>
    <n v="86"/>
    <n v="0"/>
    <n v="139836056"/>
    <n v="11"/>
    <n v="101"/>
    <x v="46"/>
    <n v="59"/>
    <x v="29"/>
  </r>
  <r>
    <s v="SPIT IN MY FACE!"/>
    <s v="ThxSoMch"/>
    <n v="1"/>
    <x v="2"/>
    <n v="10"/>
    <n v="31"/>
    <n v="629"/>
    <n v="14"/>
    <n v="303216294"/>
    <n v="32"/>
    <n v="3"/>
    <x v="46"/>
    <n v="73"/>
    <x v="25"/>
  </r>
  <r>
    <s v="PLAYA DEL INGLe½"/>
    <s v="Myke Towers, Quevedo"/>
    <n v="2"/>
    <x v="2"/>
    <n v="12"/>
    <n v="15"/>
    <n v="1701"/>
    <n v="15"/>
    <n v="221409663"/>
    <n v="30"/>
    <n v="15"/>
    <x v="100"/>
    <n v="79"/>
    <x v="1"/>
  </r>
  <r>
    <s v="Man Made A Bar (feat. Eric Church)"/>
    <s v="Morgan Wallen, Eric Church"/>
    <n v="2"/>
    <x v="0"/>
    <n v="3"/>
    <n v="3"/>
    <n v="329"/>
    <n v="0"/>
    <n v="58890931"/>
    <n v="14"/>
    <n v="35"/>
    <x v="6"/>
    <n v="50"/>
    <x v="6"/>
  </r>
  <r>
    <s v="Red Ruby Da Sleeze"/>
    <s v="Nicki Minaj"/>
    <n v="1"/>
    <x v="0"/>
    <n v="3"/>
    <n v="3"/>
    <n v="1168"/>
    <n v="0"/>
    <n v="81419389"/>
    <n v="45"/>
    <n v="11"/>
    <x v="27"/>
    <n v="70"/>
    <x v="13"/>
  </r>
  <r>
    <s v="Kahani Suno 2.0"/>
    <s v="Kaifi Khalil"/>
    <n v="1"/>
    <x v="2"/>
    <n v="5"/>
    <n v="31"/>
    <n v="162"/>
    <n v="6"/>
    <n v="156777415"/>
    <n v="1"/>
    <n v="10"/>
    <x v="16"/>
    <n v="58"/>
    <x v="65"/>
  </r>
  <r>
    <s v="Nobody Gets Me"/>
    <s v="SZA"/>
    <n v="1"/>
    <x v="2"/>
    <n v="12"/>
    <n v="9"/>
    <n v="2536"/>
    <n v="6"/>
    <n v="284908316"/>
    <n v="59"/>
    <n v="100"/>
    <x v="7"/>
    <n v="36"/>
    <x v="68"/>
  </r>
  <r>
    <s v="PERO Te"/>
    <s v="Karol G, Quevedo"/>
    <n v="2"/>
    <x v="0"/>
    <n v="2"/>
    <n v="23"/>
    <n v="387"/>
    <n v="11"/>
    <n v="93438910"/>
    <n v="11"/>
    <n v="15"/>
    <x v="16"/>
    <n v="86"/>
    <x v="25"/>
  </r>
  <r>
    <s v="Hype Boy"/>
    <s v="NewJeans"/>
    <n v="1"/>
    <x v="2"/>
    <n v="8"/>
    <n v="1"/>
    <n v="892"/>
    <n v="17"/>
    <n v="363472647"/>
    <n v="20"/>
    <n v="119"/>
    <x v="7"/>
    <n v="59"/>
    <x v="58"/>
  </r>
  <r>
    <s v="Bloody Mary"/>
    <s v="Lady Gaga"/>
    <n v="1"/>
    <x v="15"/>
    <n v="1"/>
    <n v="1"/>
    <n v="3909"/>
    <n v="0"/>
    <n v="372476382"/>
    <n v="66"/>
    <n v="26"/>
    <x v="7"/>
    <n v="59"/>
    <x v="26"/>
  </r>
  <r>
    <s v="Monotone½"/>
    <s v="Ozuna, Shakira"/>
    <n v="2"/>
    <x v="2"/>
    <n v="10"/>
    <n v="19"/>
    <n v="3645"/>
    <n v="15"/>
    <n v="380726517"/>
    <n v="118"/>
    <n v="34"/>
    <x v="48"/>
    <n v="87"/>
    <x v="34"/>
  </r>
  <r>
    <s v="ýýý98 Braves"/>
    <s v="Morgan Wallen"/>
    <n v="1"/>
    <x v="0"/>
    <n v="3"/>
    <n v="3"/>
    <n v="282"/>
    <n v="0"/>
    <n v="56533272"/>
    <n v="6"/>
    <n v="15"/>
    <x v="51"/>
    <n v="49"/>
    <x v="18"/>
  </r>
  <r>
    <s v="WANDA"/>
    <s v="Quevedo"/>
    <n v="1"/>
    <x v="0"/>
    <n v="1"/>
    <n v="20"/>
    <n v="888"/>
    <n v="22"/>
    <n v="175399345"/>
    <n v="11"/>
    <n v="24"/>
    <x v="94"/>
    <n v="72"/>
    <x v="24"/>
  </r>
  <r>
    <s v="Thought You Should Know"/>
    <s v="Morgan Wallen"/>
    <n v="1"/>
    <x v="2"/>
    <n v="5"/>
    <n v="6"/>
    <n v="968"/>
    <n v="4"/>
    <n v="203221468"/>
    <n v="16"/>
    <n v="53"/>
    <x v="16"/>
    <n v="53"/>
    <x v="34"/>
  </r>
  <r>
    <s v="In The End"/>
    <s v="Linkin Park"/>
    <n v="1"/>
    <x v="25"/>
    <n v="10"/>
    <n v="24"/>
    <n v="25065"/>
    <n v="6"/>
    <n v="1624165576"/>
    <n v="63"/>
    <n v="0"/>
    <x v="86"/>
    <n v="55"/>
    <x v="48"/>
  </r>
  <r>
    <s v="Zona De Perigo"/>
    <s v="Leo Santana"/>
    <n v="1"/>
    <x v="2"/>
    <n v="12"/>
    <n v="8"/>
    <n v="531"/>
    <n v="4"/>
    <n v="134294498"/>
    <n v="20"/>
    <n v="1"/>
    <x v="18"/>
    <n v="81"/>
    <x v="53"/>
  </r>
  <r>
    <s v="Lovezinho"/>
    <s v="Treyce"/>
    <n v="1"/>
    <x v="2"/>
    <n v="7"/>
    <n v="28"/>
    <n v="242"/>
    <n v="0"/>
    <n v="70069745"/>
    <n v="12"/>
    <n v="2"/>
    <x v="33"/>
    <n v="82"/>
    <x v="14"/>
  </r>
  <r>
    <s v="I Like You (A Happier Song) (with Doja Cat)"/>
    <s v="Post Malone, Doja Cat"/>
    <n v="2"/>
    <x v="2"/>
    <n v="6"/>
    <n v="3"/>
    <n v="5281"/>
    <n v="14"/>
    <n v="609293408"/>
    <n v="94"/>
    <n v="21"/>
    <x v="41"/>
    <n v="74"/>
    <x v="50"/>
  </r>
  <r>
    <s v="Neverita"/>
    <s v="Bad Bunny"/>
    <n v="1"/>
    <x v="2"/>
    <n v="5"/>
    <n v="6"/>
    <n v="2590"/>
    <n v="30"/>
    <n v="671365962"/>
    <n v="20"/>
    <n v="64"/>
    <x v="22"/>
    <n v="88"/>
    <x v="27"/>
  </r>
  <r>
    <s v="Vista Al Mar"/>
    <s v="Quevedo"/>
    <n v="1"/>
    <x v="2"/>
    <n v="9"/>
    <n v="8"/>
    <n v="1769"/>
    <n v="34"/>
    <n v="362361576"/>
    <n v="16"/>
    <n v="19"/>
    <x v="86"/>
    <n v="76"/>
    <x v="29"/>
  </r>
  <r>
    <s v="Sem Alian'a no "/>
    <s v="MC Xenon, Os Gemeos da Putaria"/>
    <n v="2"/>
    <x v="2"/>
    <n v="12"/>
    <n v="23"/>
    <n v="454"/>
    <n v="4"/>
    <n v="93587665"/>
    <n v="6"/>
    <n v="1"/>
    <x v="9"/>
    <n v="53"/>
    <x v="69"/>
  </r>
  <r>
    <s v="Enemy (with JID) - from the series Arcane League of Legends"/>
    <s v="Imagine Dragons, League of Legends, JID, Arcane"/>
    <n v="4"/>
    <x v="13"/>
    <n v="9"/>
    <n v="3"/>
    <n v="6180"/>
    <n v="7"/>
    <n v="1223481149"/>
    <n v="122"/>
    <n v="88"/>
    <x v="101"/>
    <n v="72"/>
    <x v="6"/>
  </r>
  <r>
    <s v="Revenge"/>
    <s v="XXXTENTACION"/>
    <n v="1"/>
    <x v="6"/>
    <n v="8"/>
    <n v="25"/>
    <n v="3600"/>
    <n v="11"/>
    <n v="1022258230"/>
    <n v="7"/>
    <n v="0"/>
    <x v="16"/>
    <n v="75"/>
    <x v="70"/>
  </r>
  <r>
    <s v="Bombonzinho - Ao Vivo"/>
    <s v="Israel &amp; Rodolffo, Ana Castela"/>
    <n v="2"/>
    <x v="2"/>
    <n v="11"/>
    <n v="3"/>
    <n v="1254"/>
    <n v="6"/>
    <n v="263453310"/>
    <n v="26"/>
    <n v="69"/>
    <x v="62"/>
    <n v="65"/>
    <x v="71"/>
  </r>
  <r>
    <s v="LA CANCIe½"/>
    <s v="J Balvin, Bad Bunny"/>
    <n v="2"/>
    <x v="1"/>
    <n v="6"/>
    <n v="28"/>
    <n v="6398"/>
    <n v="31"/>
    <n v="1435127549"/>
    <n v="177"/>
    <n v="109"/>
    <x v="94"/>
    <n v="75"/>
    <x v="26"/>
  </r>
  <r>
    <s v="Qu' Ago"/>
    <s v="Yuridia, Angela Aguilar"/>
    <n v="2"/>
    <x v="2"/>
    <n v="10"/>
    <n v="20"/>
    <n v="660"/>
    <n v="15"/>
    <n v="236857112"/>
    <n v="19"/>
    <n v="59"/>
    <x v="27"/>
    <n v="73"/>
    <x v="41"/>
  </r>
  <r>
    <s v="Love Again"/>
    <s v="The Kid Laroi"/>
    <n v="1"/>
    <x v="0"/>
    <n v="1"/>
    <n v="27"/>
    <n v="1283"/>
    <n v="0"/>
    <n v="147538971"/>
    <n v="57"/>
    <n v="4"/>
    <x v="21"/>
    <n v="66"/>
    <x v="49"/>
  </r>
  <r>
    <s v="After Hours"/>
    <s v="The Weeknd"/>
    <n v="1"/>
    <x v="7"/>
    <n v="2"/>
    <n v="19"/>
    <n v="8084"/>
    <n v="6"/>
    <n v="698086140"/>
    <n v="45"/>
    <n v="115"/>
    <x v="83"/>
    <n v="66"/>
    <x v="41"/>
  </r>
  <r>
    <s v="About Damn Time"/>
    <s v="Lizzo"/>
    <n v="1"/>
    <x v="2"/>
    <n v="7"/>
    <n v="15"/>
    <n v="2332"/>
    <n v="2"/>
    <n v="723894473"/>
    <n v="0"/>
    <n v="0"/>
    <x v="83"/>
    <n v="84"/>
    <x v="1"/>
  </r>
  <r>
    <s v="Born With A Beer In My Hand"/>
    <s v="Morgan Wallen"/>
    <n v="1"/>
    <x v="0"/>
    <n v="3"/>
    <n v="3"/>
    <n v="203"/>
    <n v="0"/>
    <n v="34450974"/>
    <n v="5"/>
    <n v="9"/>
    <x v="6"/>
    <n v="53"/>
    <x v="31"/>
  </r>
  <r>
    <s v="ýýýýýýýýýýýýýýýýýýýýý"/>
    <s v="Fujii Kaze"/>
    <n v="1"/>
    <x v="7"/>
    <n v="5"/>
    <n v="20"/>
    <n v="685"/>
    <n v="14"/>
    <n v="403097450"/>
    <n v="24"/>
    <n v="94"/>
    <x v="62"/>
    <n v="60"/>
    <x v="6"/>
  </r>
  <r>
    <s v="Besos Moja2"/>
    <s v="Wisin &amp; Yandel, ROSALIA"/>
    <n v="2"/>
    <x v="2"/>
    <n v="9"/>
    <n v="29"/>
    <n v="2460"/>
    <n v="13"/>
    <n v="309483971"/>
    <n v="53"/>
    <n v="7"/>
    <x v="46"/>
    <n v="74"/>
    <x v="13"/>
  </r>
  <r>
    <s v="Maan Meri Jaan"/>
    <s v="King"/>
    <n v="1"/>
    <x v="2"/>
    <n v="10"/>
    <n v="12"/>
    <n v="288"/>
    <n v="6"/>
    <n v="319566866"/>
    <n v="11"/>
    <n v="80"/>
    <x v="30"/>
    <n v="70"/>
    <x v="61"/>
  </r>
  <r>
    <s v="Moscow Mule"/>
    <s v="Bad Bunny"/>
    <n v="1"/>
    <x v="2"/>
    <n v="5"/>
    <n v="6"/>
    <n v="4572"/>
    <n v="33"/>
    <n v="909001996"/>
    <n v="74"/>
    <n v="113"/>
    <x v="7"/>
    <n v="80"/>
    <x v="18"/>
  </r>
  <r>
    <s v="My Universe"/>
    <s v="Coldplay, BTS"/>
    <n v="2"/>
    <x v="13"/>
    <n v="9"/>
    <n v="24"/>
    <n v="6127"/>
    <n v="13"/>
    <n v="1061966512"/>
    <n v="0"/>
    <n v="0"/>
    <x v="86"/>
    <n v="58"/>
    <x v="11"/>
  </r>
  <r>
    <s v="Devil Don'"/>
    <s v="Morgan Wallen"/>
    <n v="1"/>
    <x v="0"/>
    <n v="3"/>
    <n v="3"/>
    <n v="166"/>
    <n v="0"/>
    <n v="32526947"/>
    <n v="2"/>
    <n v="10"/>
    <x v="0"/>
    <n v="53"/>
    <x v="16"/>
  </r>
  <r>
    <s v="LLYLM"/>
    <s v="ROSALIA"/>
    <n v="1"/>
    <x v="0"/>
    <n v="1"/>
    <n v="27"/>
    <n v="1838"/>
    <n v="0"/>
    <n v="124988687"/>
    <n v="105"/>
    <n v="41"/>
    <x v="3"/>
    <n v="56"/>
    <x v="24"/>
  </r>
  <r>
    <s v="I'm Not Here To Make Friends"/>
    <s v="Sam Smith, Calvin Harris, Jessie Reyez"/>
    <n v="3"/>
    <x v="0"/>
    <n v="1"/>
    <n v="27"/>
    <n v="1890"/>
    <n v="0"/>
    <n v="103787664"/>
    <n v="86"/>
    <n v="1"/>
    <x v="71"/>
    <n v="70"/>
    <x v="48"/>
  </r>
  <r>
    <s v="TRUSTFALL"/>
    <s v="P!nk"/>
    <n v="1"/>
    <x v="0"/>
    <n v="1"/>
    <n v="27"/>
    <n v="2098"/>
    <n v="16"/>
    <n v="134255790"/>
    <n v="88"/>
    <n v="24"/>
    <x v="22"/>
    <n v="64"/>
    <x v="38"/>
  </r>
  <r>
    <s v="ANTIFRAGILE"/>
    <s v="LE SSERAFIM"/>
    <n v="1"/>
    <x v="2"/>
    <n v="10"/>
    <n v="17"/>
    <n v="761"/>
    <n v="12"/>
    <n v="301051721"/>
    <n v="23"/>
    <n v="95"/>
    <x v="86"/>
    <n v="88"/>
    <x v="4"/>
  </r>
  <r>
    <s v="Boy's a liar"/>
    <s v="PinkPantheress"/>
    <n v="1"/>
    <x v="2"/>
    <n v="11"/>
    <n v="30"/>
    <n v="1225"/>
    <n v="0"/>
    <n v="156338624"/>
    <n v="27"/>
    <n v="0"/>
    <x v="19"/>
    <n v="66"/>
    <x v="21"/>
  </r>
  <r>
    <s v="VIBE (feat. Jimin of BTS)"/>
    <s v="TAEYANG, Jimin"/>
    <n v="2"/>
    <x v="0"/>
    <n v="1"/>
    <n v="13"/>
    <n v="415"/>
    <n v="2"/>
    <n v="152850295"/>
    <n v="15"/>
    <n v="40"/>
    <x v="7"/>
    <n v="79"/>
    <x v="11"/>
  </r>
  <r>
    <s v="Shirt"/>
    <s v="SZA"/>
    <n v="1"/>
    <x v="2"/>
    <n v="10"/>
    <n v="28"/>
    <n v="3469"/>
    <n v="0"/>
    <n v="309653982"/>
    <n v="71"/>
    <n v="95"/>
    <x v="14"/>
    <n v="82"/>
    <x v="54"/>
  </r>
  <r>
    <s v="Lift Me Up - From Black Panther: Wakanda Forever - Music From and Inspired By"/>
    <s v="Rihanna"/>
    <n v="1"/>
    <x v="2"/>
    <n v="10"/>
    <n v="28"/>
    <n v="3311"/>
    <n v="0"/>
    <n v="297328960"/>
    <n v="129"/>
    <n v="31"/>
    <x v="102"/>
    <n v="25"/>
    <x v="52"/>
  </r>
  <r>
    <s v="STAR WALKIN' (League of Legends Worlds Anthem)"/>
    <s v="Lil Nas X"/>
    <n v="1"/>
    <x v="2"/>
    <n v="9"/>
    <n v="22"/>
    <n v="2616"/>
    <n v="0"/>
    <n v="332506354"/>
    <n v="113"/>
    <n v="17"/>
    <x v="51"/>
    <n v="64"/>
    <x v="3"/>
  </r>
  <r>
    <s v="Sex, Drugs, Etc."/>
    <s v="Beach Weather"/>
    <n v="1"/>
    <x v="8"/>
    <n v="11"/>
    <n v="4"/>
    <n v="3006"/>
    <n v="16"/>
    <n v="480507035"/>
    <n v="47"/>
    <n v="60"/>
    <x v="4"/>
    <n v="57"/>
    <x v="21"/>
  </r>
  <r>
    <s v="Boy With Luv (feat. Halsey)"/>
    <s v="Halsey, BTS"/>
    <n v="2"/>
    <x v="1"/>
    <n v="4"/>
    <n v="12"/>
    <n v="4260"/>
    <n v="0"/>
    <n v="1065580332"/>
    <n v="113"/>
    <n v="92"/>
    <x v="14"/>
    <n v="65"/>
    <x v="19"/>
  </r>
  <r>
    <s v="Hey, Mickey!"/>
    <s v="Baby Tate"/>
    <n v="1"/>
    <x v="8"/>
    <n v="9"/>
    <n v="27"/>
    <n v="482"/>
    <n v="0"/>
    <n v="122763672"/>
    <n v="9"/>
    <n v="1"/>
    <x v="18"/>
    <n v="92"/>
    <x v="61"/>
  </r>
  <r>
    <s v="Calm Down"/>
    <s v="Re½ï"/>
    <n v="1"/>
    <x v="2"/>
    <n v="2"/>
    <n v="9"/>
    <n v="4013"/>
    <n v="10"/>
    <n v="445763624"/>
    <n v="107"/>
    <n v="44"/>
    <x v="21"/>
    <n v="81"/>
    <x v="39"/>
  </r>
  <r>
    <s v="Jhoome Jo Pathaan"/>
    <s v="Arijit Singh, Vishal Dadlani, Sukriti Kakar, Vishal-Shekhar, Shekhar Ravjiani, Kumaar"/>
    <n v="6"/>
    <x v="2"/>
    <n v="12"/>
    <n v="22"/>
    <n v="138"/>
    <n v="4"/>
    <n v="1365184"/>
    <n v="13"/>
    <n v="78"/>
    <x v="86"/>
    <n v="82"/>
    <x v="1"/>
  </r>
  <r>
    <s v="Escapism. - Sped Up"/>
    <s v="RAYE, 070 Shake"/>
    <n v="2"/>
    <x v="2"/>
    <n v="11"/>
    <n v="25"/>
    <n v="1368"/>
    <n v="0"/>
    <n v="184308753"/>
    <n v="12"/>
    <n v="1"/>
    <x v="65"/>
    <n v="44"/>
    <x v="53"/>
  </r>
  <r>
    <s v="Space Song"/>
    <s v="Beach House"/>
    <n v="1"/>
    <x v="14"/>
    <n v="1"/>
    <n v="1"/>
    <n v="17852"/>
    <n v="4"/>
    <n v="789753877"/>
    <n v="69"/>
    <n v="76"/>
    <x v="103"/>
    <n v="51"/>
    <x v="25"/>
  </r>
  <r>
    <s v="Dreamers [Music from the FIFA World Cup Qatar 2022 Official Soundtrack]"/>
    <s v="BTS, Jung Kook, FIFA Sound"/>
    <n v="3"/>
    <x v="2"/>
    <n v="11"/>
    <n v="20"/>
    <n v="889"/>
    <n v="20"/>
    <n v="323358833"/>
    <n v="11"/>
    <n v="78"/>
    <x v="71"/>
    <n v="71"/>
    <x v="35"/>
  </r>
  <r>
    <s v="Te Felicito"/>
    <s v="Shakira, Rauw Alejandro"/>
    <n v="2"/>
    <x v="2"/>
    <n v="4"/>
    <n v="21"/>
    <n v="4796"/>
    <n v="9"/>
    <n v="606361689"/>
    <n v="124"/>
    <n v="66"/>
    <x v="12"/>
    <n v="70"/>
    <x v="30"/>
  </r>
  <r>
    <s v="Mu'"/>
    <s v="Steve Aoki, Tini, La Joaqui"/>
    <n v="3"/>
    <x v="0"/>
    <n v="1"/>
    <n v="12"/>
    <n v="658"/>
    <n v="6"/>
    <n v="120972253"/>
    <n v="33"/>
    <n v="7"/>
    <x v="32"/>
    <n v="68"/>
    <x v="7"/>
  </r>
  <r>
    <s v="TV"/>
    <s v="Billie Eilish"/>
    <n v="1"/>
    <x v="2"/>
    <n v="7"/>
    <n v="21"/>
    <n v="3009"/>
    <n v="2"/>
    <n v="338564981"/>
    <n v="68"/>
    <n v="89"/>
    <x v="5"/>
    <n v="41"/>
    <x v="70"/>
  </r>
  <r>
    <s v="I'm Not The Only One"/>
    <s v="Sam Smith"/>
    <n v="1"/>
    <x v="4"/>
    <n v="1"/>
    <n v="1"/>
    <n v="17492"/>
    <n v="3"/>
    <n v="1606986953"/>
    <n v="136"/>
    <n v="24"/>
    <x v="44"/>
    <n v="68"/>
    <x v="72"/>
  </r>
  <r>
    <s v="Heather"/>
    <s v="Conan Gray"/>
    <n v="1"/>
    <x v="7"/>
    <n v="3"/>
    <n v="20"/>
    <n v="6170"/>
    <n v="7"/>
    <n v="1301799902"/>
    <n v="82"/>
    <n v="1"/>
    <x v="1"/>
    <n v="47"/>
    <x v="12"/>
  </r>
  <r>
    <s v="Besharam Rang (From &quot;Pathaan&quot;)"/>
    <s v="Vishal-Shekhar, Shilpa Rao, Caralisa Monteiro, Kumaar, Vishal Dadlani, Shekhar Ravjiani"/>
    <n v="6"/>
    <x v="2"/>
    <n v="12"/>
    <n v="12"/>
    <n v="130"/>
    <n v="4"/>
    <n v="140187018"/>
    <n v="21"/>
    <n v="79"/>
    <x v="52"/>
    <n v="77"/>
    <x v="4"/>
  </r>
  <r>
    <s v="One Kiss (with Dua Lipa)"/>
    <s v="Calvin Harris, Dua Lipa"/>
    <n v="2"/>
    <x v="6"/>
    <n v="6"/>
    <n v="2"/>
    <n v="27705"/>
    <n v="10"/>
    <n v="1897517891"/>
    <n v="537"/>
    <n v="122"/>
    <x v="47"/>
    <n v="79"/>
    <x v="19"/>
  </r>
  <r>
    <s v="Sugar Rush Ride"/>
    <s v="TOMORROW X TOGETHER"/>
    <n v="1"/>
    <x v="0"/>
    <n v="1"/>
    <n v="27"/>
    <n v="359"/>
    <n v="0"/>
    <n v="107642809"/>
    <n v="12"/>
    <n v="56"/>
    <x v="0"/>
    <n v="71"/>
    <x v="38"/>
  </r>
  <r>
    <s v="Pink Venom"/>
    <s v="BLACKPINK"/>
    <n v="1"/>
    <x v="2"/>
    <n v="8"/>
    <n v="19"/>
    <n v="1963"/>
    <n v="16"/>
    <n v="551305895"/>
    <n v="57"/>
    <n v="119"/>
    <x v="32"/>
    <n v="80"/>
    <x v="50"/>
  </r>
  <r>
    <s v="WAIT FOR U (feat. Drake &amp; Tems)"/>
    <s v="Drake, Future, Tems"/>
    <n v="3"/>
    <x v="2"/>
    <n v="4"/>
    <n v="27"/>
    <n v="5491"/>
    <n v="14"/>
    <n v="556585270"/>
    <n v="128"/>
    <n v="84"/>
    <x v="9"/>
    <n v="46"/>
    <x v="30"/>
  </r>
  <r>
    <s v="Don't Start Now"/>
    <s v="Dua Lipa"/>
    <n v="1"/>
    <x v="1"/>
    <n v="10"/>
    <n v="31"/>
    <n v="27119"/>
    <n v="0"/>
    <n v="2303033973"/>
    <n v="532"/>
    <n v="77"/>
    <x v="47"/>
    <n v="79"/>
    <x v="25"/>
  </r>
  <r>
    <s v="After Dark"/>
    <s v="Mr.Kitty"/>
    <n v="1"/>
    <x v="4"/>
    <n v="8"/>
    <n v="8"/>
    <n v="1776"/>
    <n v="14"/>
    <n v="646886885"/>
    <n v="1"/>
    <n v="9"/>
    <x v="16"/>
    <n v="58"/>
    <x v="44"/>
  </r>
  <r>
    <s v="Eu Gosto Assim - Ao Vivo"/>
    <s v="Gustavo Mioto, Mari Fernandez"/>
    <n v="2"/>
    <x v="2"/>
    <n v="9"/>
    <n v="16"/>
    <n v="1473"/>
    <n v="4"/>
    <n v="222612678"/>
    <n v="27"/>
    <n v="64"/>
    <x v="77"/>
    <n v="64"/>
    <x v="33"/>
  </r>
  <r>
    <s v="INDUSTRY BABY (feat. Jack Harlow)"/>
    <s v="Jack Harlow, Lil Nas X"/>
    <n v="2"/>
    <x v="13"/>
    <n v="7"/>
    <n v="23"/>
    <n v="13315"/>
    <n v="0"/>
    <n v="1814349763"/>
    <n v="300"/>
    <n v="47"/>
    <x v="10"/>
    <n v="74"/>
    <x v="34"/>
  </r>
  <r>
    <s v="MIDDLE OF THE NIGHT"/>
    <s v="Elley Duhe"/>
    <n v="1"/>
    <x v="7"/>
    <n v="1"/>
    <n v="10"/>
    <n v="4057"/>
    <n v="8"/>
    <n v="872137015"/>
    <n v="78"/>
    <n v="21"/>
    <x v="36"/>
    <n v="41"/>
    <x v="23"/>
  </r>
  <r>
    <s v="Atlantis"/>
    <s v="Seafret"/>
    <n v="1"/>
    <x v="14"/>
    <n v="4"/>
    <n v="22"/>
    <n v="3045"/>
    <n v="6"/>
    <n v="571386359"/>
    <n v="43"/>
    <n v="53"/>
    <x v="82"/>
    <n v="40"/>
    <x v="9"/>
  </r>
  <r>
    <s v="PUNTO 40"/>
    <s v="Baby Rasta, Rauw Alejandro"/>
    <n v="2"/>
    <x v="2"/>
    <n v="9"/>
    <n v="22"/>
    <n v="3006"/>
    <n v="12"/>
    <n v="304079786"/>
    <n v="54"/>
    <n v="32"/>
    <x v="21"/>
    <n v="87"/>
    <x v="0"/>
  </r>
  <r>
    <s v="Evoque Prata"/>
    <s v="DJ Escobar, MC MENOR SG, MC MENOR HR"/>
    <n v="3"/>
    <x v="2"/>
    <n v="9"/>
    <n v="9"/>
    <n v="852"/>
    <n v="0"/>
    <n v="174006928"/>
    <n v="14"/>
    <n v="1"/>
    <x v="98"/>
    <n v="87"/>
    <x v="32"/>
  </r>
  <r>
    <s v="How Do I Say Goodbye"/>
    <s v="Dean Lewis"/>
    <n v="1"/>
    <x v="2"/>
    <n v="8"/>
    <n v="5"/>
    <n v="2163"/>
    <n v="15"/>
    <n v="284785823"/>
    <n v="72"/>
    <n v="97"/>
    <x v="44"/>
    <n v="40"/>
    <x v="30"/>
  </r>
  <r>
    <s v="Blind"/>
    <s v="SZA"/>
    <n v="1"/>
    <x v="2"/>
    <n v="12"/>
    <n v="9"/>
    <n v="1484"/>
    <n v="0"/>
    <n v="163284000"/>
    <n v="22"/>
    <n v="51"/>
    <x v="64"/>
    <n v="46"/>
    <x v="68"/>
  </r>
  <r>
    <s v="Die For You"/>
    <s v="Joji"/>
    <n v="1"/>
    <x v="2"/>
    <n v="11"/>
    <n v="4"/>
    <n v="1703"/>
    <n v="0"/>
    <n v="246390068"/>
    <n v="38"/>
    <n v="45"/>
    <x v="6"/>
    <n v="47"/>
    <x v="32"/>
  </r>
  <r>
    <s v="Doja"/>
    <s v="Central Cee"/>
    <n v="1"/>
    <x v="2"/>
    <n v="7"/>
    <n v="20"/>
    <n v="4169"/>
    <n v="44"/>
    <n v="482257456"/>
    <n v="57"/>
    <n v="44"/>
    <x v="16"/>
    <n v="91"/>
    <x v="41"/>
  </r>
  <r>
    <s v="Gatita"/>
    <s v="Bellakath"/>
    <n v="1"/>
    <x v="2"/>
    <n v="10"/>
    <n v="3"/>
    <n v="1054"/>
    <n v="0"/>
    <n v="168684524"/>
    <n v="9"/>
    <n v="0"/>
    <x v="41"/>
    <n v="90"/>
    <x v="31"/>
  </r>
  <r>
    <s v="Rumble"/>
    <s v="Skrillex, Flowdan, Fred again.."/>
    <n v="3"/>
    <x v="2"/>
    <n v="1"/>
    <n v="17"/>
    <n v="2849"/>
    <n v="0"/>
    <n v="78489819"/>
    <n v="39"/>
    <n v="45"/>
    <x v="16"/>
    <n v="81"/>
    <x v="21"/>
  </r>
  <r>
    <s v="Niagara Falls (Foot or 2) [with Travis Scott &amp; 21 Savage]"/>
    <s v="Travis Scott, 21 Savage, Metro Boomin"/>
    <n v="3"/>
    <x v="2"/>
    <n v="12"/>
    <n v="2"/>
    <n v="1602"/>
    <n v="0"/>
    <n v="195516622"/>
    <n v="12"/>
    <n v="22"/>
    <x v="56"/>
    <n v="49"/>
    <x v="16"/>
  </r>
  <r>
    <s v="Yonaguni"/>
    <s v="Bad Bunny"/>
    <n v="1"/>
    <x v="13"/>
    <n v="6"/>
    <n v="4"/>
    <n v="9644"/>
    <n v="28"/>
    <n v="1260594497"/>
    <n v="120"/>
    <n v="86"/>
    <x v="29"/>
    <n v="64"/>
    <x v="26"/>
  </r>
  <r>
    <s v="Super Freaky Girl"/>
    <s v="Nicki Minaj"/>
    <n v="1"/>
    <x v="2"/>
    <n v="8"/>
    <n v="12"/>
    <n v="4827"/>
    <n v="0"/>
    <n v="428685680"/>
    <n v="104"/>
    <n v="17"/>
    <x v="19"/>
    <n v="95"/>
    <x v="38"/>
  </r>
  <r>
    <s v="Running Up That Hill (A Deal With God)"/>
    <s v="Kate Bush"/>
    <n v="1"/>
    <x v="17"/>
    <n v="9"/>
    <n v="16"/>
    <n v="21811"/>
    <n v="0"/>
    <n v="1024858327"/>
    <n v="117"/>
    <n v="1"/>
    <x v="65"/>
    <n v="63"/>
    <x v="47"/>
  </r>
  <r>
    <s v="Dream On"/>
    <s v="Aerosmith"/>
    <n v="1"/>
    <x v="29"/>
    <n v="1"/>
    <n v="5"/>
    <n v="168"/>
    <n v="0"/>
    <n v="838586769"/>
    <n v="0"/>
    <n v="0"/>
    <x v="73"/>
    <n v="39"/>
    <x v="12"/>
  </r>
  <r>
    <s v="Limbo"/>
    <s v="Freddie Dredd"/>
    <n v="1"/>
    <x v="2"/>
    <n v="8"/>
    <n v="11"/>
    <n v="688"/>
    <n v="0"/>
    <n v="199386237"/>
    <n v="14"/>
    <n v="1"/>
    <x v="104"/>
    <n v="80"/>
    <x v="8"/>
  </r>
  <r>
    <s v="Where Are You Now"/>
    <s v="Lost Frequencies, Calum Scott"/>
    <n v="2"/>
    <x v="13"/>
    <n v="7"/>
    <n v="30"/>
    <n v="10565"/>
    <n v="44"/>
    <n v="972509632"/>
    <n v="238"/>
    <n v="122"/>
    <x v="66"/>
    <n v="67"/>
    <x v="30"/>
  </r>
  <r>
    <s v="WORTH NOTHING"/>
    <s v="Twisted, Oliver Tree"/>
    <n v="2"/>
    <x v="2"/>
    <n v="9"/>
    <n v="28"/>
    <n v="1612"/>
    <n v="0"/>
    <n v="213438580"/>
    <n v="34"/>
    <n v="54"/>
    <x v="16"/>
    <n v="58"/>
    <x v="8"/>
  </r>
  <r>
    <s v="Bad Habits"/>
    <s v="Ed Sheeran"/>
    <n v="1"/>
    <x v="7"/>
    <n v="9"/>
    <n v="3"/>
    <n v="12755"/>
    <n v="8"/>
    <n v="1555511105"/>
    <n v="344"/>
    <n v="97"/>
    <x v="25"/>
    <n v="81"/>
    <x v="48"/>
  </r>
  <r>
    <s v="KICK BACK"/>
    <s v="Kenshi Yonezu"/>
    <n v="1"/>
    <x v="2"/>
    <n v="10"/>
    <n v="12"/>
    <n v="574"/>
    <n v="4"/>
    <n v="210038833"/>
    <n v="38"/>
    <n v="101"/>
    <x v="50"/>
    <n v="58"/>
    <x v="58"/>
  </r>
  <r>
    <s v="Evergreen (You Didn't Deserve Me A"/>
    <s v="Omar Apollo"/>
    <n v="1"/>
    <x v="2"/>
    <n v="4"/>
    <n v="8"/>
    <n v="2499"/>
    <n v="0"/>
    <n v="227918678"/>
    <n v="70"/>
    <n v="0"/>
    <x v="44"/>
    <n v="70"/>
    <x v="42"/>
  </r>
  <r>
    <s v="Good Days"/>
    <s v="SZA"/>
    <n v="1"/>
    <x v="7"/>
    <n v="12"/>
    <n v="24"/>
    <n v="10426"/>
    <n v="2"/>
    <n v="826623384"/>
    <n v="133"/>
    <n v="109"/>
    <x v="66"/>
    <n v="46"/>
    <x v="39"/>
  </r>
  <r>
    <s v="Levitating (feat. DaBaby)"/>
    <s v="Dua Lipa, DaBaby"/>
    <n v="2"/>
    <x v="7"/>
    <n v="3"/>
    <n v="27"/>
    <n v="15894"/>
    <n v="8"/>
    <n v="1802514301"/>
    <n v="198"/>
    <n v="13"/>
    <x v="105"/>
    <n v="70"/>
    <x v="0"/>
  </r>
  <r>
    <s v="Woman"/>
    <s v="Doja Cat"/>
    <n v="1"/>
    <x v="13"/>
    <n v="6"/>
    <n v="25"/>
    <n v="9424"/>
    <n v="0"/>
    <n v="1329090101"/>
    <n v="202"/>
    <n v="50"/>
    <x v="65"/>
    <n v="82"/>
    <x v="6"/>
  </r>
  <r>
    <s v="Shut up My Moms Calling - (Sped Up)"/>
    <s v="Hotel Ugly"/>
    <n v="1"/>
    <x v="2"/>
    <n v="9"/>
    <n v="14"/>
    <n v="713"/>
    <n v="7"/>
    <n v="181831132"/>
    <n v="2"/>
    <n v="4"/>
    <x v="81"/>
    <n v="65"/>
    <x v="40"/>
  </r>
  <r>
    <s v="Ferrari"/>
    <s v="James Hype, Miggy Dela Rosa"/>
    <n v="2"/>
    <x v="2"/>
    <n v="3"/>
    <n v="14"/>
    <n v="7758"/>
    <n v="28"/>
    <n v="462791599"/>
    <n v="173"/>
    <n v="79"/>
    <x v="0"/>
    <n v="84"/>
    <x v="50"/>
  </r>
  <r>
    <s v="You're On Your Own, Kid"/>
    <s v="Taylor Swift"/>
    <n v="1"/>
    <x v="2"/>
    <n v="10"/>
    <n v="21"/>
    <n v="2537"/>
    <n v="2"/>
    <n v="348647203"/>
    <n v="8"/>
    <n v="18"/>
    <x v="14"/>
    <n v="69"/>
    <x v="60"/>
  </r>
  <r>
    <s v="Kesariya (From &quot;Brahmastra&quot;)"/>
    <s v="Pritam, Arijit Singh, Amitabh Bhattacharya"/>
    <n v="3"/>
    <x v="2"/>
    <n v="7"/>
    <n v="17"/>
    <n v="292"/>
    <n v="6"/>
    <n v="366599607"/>
    <n v="26"/>
    <n v="98"/>
    <x v="46"/>
    <n v="58"/>
    <x v="41"/>
  </r>
  <r>
    <s v="Agudo M'gi"/>
    <s v="Styrx, utku INC, Thezth"/>
    <n v="3"/>
    <x v="30"/>
    <n v="1"/>
    <n v="1"/>
    <n v="323"/>
    <n v="0"/>
    <n v="90598517"/>
    <n v="4"/>
    <n v="0"/>
    <x v="8"/>
    <n v="65"/>
    <x v="4"/>
  </r>
  <r>
    <s v="Payphone"/>
    <s v="Maroon 5, Wiz Khalifa"/>
    <n v="2"/>
    <x v="9"/>
    <n v="1"/>
    <n v="1"/>
    <n v="14143"/>
    <n v="4"/>
    <n v="1479264469"/>
    <n v="56"/>
    <n v="38"/>
    <x v="24"/>
    <n v="74"/>
    <x v="1"/>
  </r>
  <r>
    <s v="All I Want for Christmas Is You"/>
    <s v="Mariah Carey"/>
    <n v="1"/>
    <x v="31"/>
    <n v="10"/>
    <n v="28"/>
    <n v="25653"/>
    <n v="0"/>
    <n v="1449779435"/>
    <n v="387"/>
    <n v="132"/>
    <x v="10"/>
    <n v="34"/>
    <x v="24"/>
  </r>
  <r>
    <s v="Last Christmas"/>
    <s v="Wham!"/>
    <n v="1"/>
    <x v="24"/>
    <n v="1"/>
    <n v="1"/>
    <n v="22153"/>
    <n v="0"/>
    <n v="1159176109"/>
    <n v="274"/>
    <n v="111"/>
    <x v="21"/>
    <n v="74"/>
    <x v="26"/>
  </r>
  <r>
    <s v="Rockin' Around The Christmas Tree"/>
    <s v="Brenda Lee"/>
    <n v="1"/>
    <x v="32"/>
    <n v="1"/>
    <n v="1"/>
    <n v="14994"/>
    <n v="0"/>
    <n v="769213520"/>
    <n v="191"/>
    <n v="168"/>
    <x v="16"/>
    <n v="70"/>
    <x v="43"/>
  </r>
  <r>
    <s v="Jingle Bell Rock"/>
    <s v="Bobby Helms"/>
    <n v="1"/>
    <x v="33"/>
    <n v="1"/>
    <n v="1"/>
    <n v="10326"/>
    <n v="0"/>
    <n v="741301563"/>
    <n v="165"/>
    <n v="99"/>
    <x v="72"/>
    <n v="74"/>
    <x v="56"/>
  </r>
  <r>
    <s v="It's Beginning To Look A Lot Like Christmas"/>
    <s v="Michael Buble"/>
    <n v="1"/>
    <x v="15"/>
    <n v="10"/>
    <n v="14"/>
    <n v="12353"/>
    <n v="0"/>
    <n v="807561936"/>
    <n v="35"/>
    <n v="0"/>
    <x v="59"/>
    <n v="35"/>
    <x v="73"/>
  </r>
  <r>
    <s v="Santa Tell Me"/>
    <s v="Ariana Grande"/>
    <n v="1"/>
    <x v="3"/>
    <n v="12"/>
    <n v="13"/>
    <n v="9408"/>
    <n v="0"/>
    <n v="834129063"/>
    <n v="231"/>
    <n v="106"/>
    <x v="19"/>
    <n v="46"/>
    <x v="24"/>
  </r>
  <r>
    <s v="It's the Most Wonderful Time of the Year"/>
    <s v="Andy Williams"/>
    <n v="1"/>
    <x v="34"/>
    <n v="10"/>
    <n v="14"/>
    <n v="8879"/>
    <n v="0"/>
    <n v="663832097"/>
    <n v="182"/>
    <n v="107"/>
    <x v="91"/>
    <n v="24"/>
    <x v="44"/>
  </r>
  <r>
    <s v="Let It Snow! Let It Snow! Let It Snow!"/>
    <s v="Dean Martin"/>
    <n v="1"/>
    <x v="35"/>
    <n v="11"/>
    <n v="16"/>
    <n v="6512"/>
    <n v="0"/>
    <n v="446390129"/>
    <n v="88"/>
    <n v="1"/>
    <x v="35"/>
    <n v="45"/>
    <x v="74"/>
  </r>
  <r>
    <s v="Snowman"/>
    <s v="Sia"/>
    <n v="1"/>
    <x v="6"/>
    <n v="1"/>
    <n v="1"/>
    <n v="5140"/>
    <n v="0"/>
    <n v="690104769"/>
    <n v="85"/>
    <n v="110"/>
    <x v="86"/>
    <n v="72"/>
    <x v="61"/>
  </r>
  <r>
    <s v="Underneath the Tree"/>
    <s v="Kelly Clarkson"/>
    <n v="1"/>
    <x v="3"/>
    <n v="10"/>
    <n v="25"/>
    <n v="6596"/>
    <n v="0"/>
    <n v="485285717"/>
    <n v="144"/>
    <n v="99"/>
    <x v="74"/>
    <n v="51"/>
    <x v="31"/>
  </r>
  <r>
    <s v="Feliz Navidad"/>
    <s v="Jos' Felic"/>
    <n v="1"/>
    <x v="36"/>
    <n v="11"/>
    <n v="1"/>
    <n v="3788"/>
    <n v="0"/>
    <n v="520034544"/>
    <n v="21"/>
    <n v="3"/>
    <x v="6"/>
    <n v="50"/>
    <x v="10"/>
  </r>
  <r>
    <s v="Holly Jolly Christmas"/>
    <s v="Michael Buble"/>
    <n v="1"/>
    <x v="15"/>
    <n v="10"/>
    <n v="14"/>
    <n v="7655"/>
    <n v="0"/>
    <n v="476244795"/>
    <n v="5"/>
    <n v="0"/>
    <x v="106"/>
    <n v="65"/>
    <x v="40"/>
  </r>
  <r>
    <s v="Mistletoe"/>
    <s v="Justin Bieber"/>
    <n v="1"/>
    <x v="15"/>
    <n v="1"/>
    <n v="1"/>
    <n v="9577"/>
    <n v="0"/>
    <n v="629173063"/>
    <n v="195"/>
    <n v="111"/>
    <x v="69"/>
    <n v="67"/>
    <x v="36"/>
  </r>
  <r>
    <s v="Sleigh Ride"/>
    <s v="The Ronettes"/>
    <n v="1"/>
    <x v="34"/>
    <n v="11"/>
    <n v="22"/>
    <n v="10114"/>
    <n v="0"/>
    <n v="404664135"/>
    <n v="114"/>
    <n v="74"/>
    <x v="1"/>
    <n v="53"/>
    <x v="53"/>
  </r>
  <r>
    <s v="Seek &amp; Destroy"/>
    <s v="SZA"/>
    <n v="1"/>
    <x v="2"/>
    <n v="12"/>
    <n v="9"/>
    <n v="1007"/>
    <n v="0"/>
    <n v="98709329"/>
    <n v="5"/>
    <n v="31"/>
    <x v="107"/>
    <n v="65"/>
    <x v="26"/>
  </r>
  <r>
    <s v="Love Language"/>
    <s v="SZA"/>
    <n v="1"/>
    <x v="2"/>
    <n v="12"/>
    <n v="9"/>
    <n v="1127"/>
    <n v="0"/>
    <n v="110849052"/>
    <n v="16"/>
    <n v="63"/>
    <x v="108"/>
    <n v="71"/>
    <x v="75"/>
  </r>
  <r>
    <s v="Happy Xmas (War Is Over)"/>
    <s v="John Lennon, The Harlem Community Choir, The Plastic Ono Band, Yoko Ono"/>
    <n v="4"/>
    <x v="37"/>
    <n v="12"/>
    <n v="1"/>
    <n v="10829"/>
    <n v="0"/>
    <n v="460492795"/>
    <n v="130"/>
    <n v="1"/>
    <x v="103"/>
    <n v="33"/>
    <x v="23"/>
  </r>
  <r>
    <s v="Used (feat. Don Toliver)"/>
    <s v="SZA, Don Toliver"/>
    <n v="2"/>
    <x v="2"/>
    <n v="12"/>
    <n v="8"/>
    <n v="1042"/>
    <n v="0"/>
    <n v="94005786"/>
    <n v="7"/>
    <n v="29"/>
    <x v="10"/>
    <n v="73"/>
    <x v="50"/>
  </r>
  <r>
    <s v="A Holly Jolly Christmas - Single Version"/>
    <s v="Burl Ives"/>
    <n v="1"/>
    <x v="38"/>
    <n v="1"/>
    <n v="1"/>
    <n v="7930"/>
    <n v="0"/>
    <n v="395591396"/>
    <n v="108"/>
    <n v="120"/>
    <x v="16"/>
    <n v="67"/>
    <x v="69"/>
  </r>
  <r>
    <s v="The Christmas Song (Merry Christmas To You) - Remastered 1999"/>
    <s v="Nat King Cole"/>
    <n v="1"/>
    <x v="39"/>
    <n v="11"/>
    <n v="1"/>
    <n v="11500"/>
    <n v="0"/>
    <n v="389771964"/>
    <n v="140"/>
    <n v="72"/>
    <x v="68"/>
    <n v="36"/>
    <x v="76"/>
  </r>
  <r>
    <s v="Wonderful Christmastime - Edited Version / Remastered 2011"/>
    <s v="Paul McCartney"/>
    <n v="1"/>
    <x v="40"/>
    <n v="11"/>
    <n v="16"/>
    <n v="1685"/>
    <n v="0"/>
    <n v="403939487"/>
    <n v="1"/>
    <n v="0"/>
    <x v="31"/>
    <n v="75"/>
    <x v="5"/>
  </r>
  <r>
    <s v="Do They Know It's Christmas? - 1984 Version"/>
    <s v="Band Aid"/>
    <n v="1"/>
    <x v="24"/>
    <n v="11"/>
    <n v="25"/>
    <n v="14169"/>
    <n v="0"/>
    <n v="481697415"/>
    <n v="209"/>
    <n v="30"/>
    <x v="71"/>
    <n v="60"/>
    <x v="41"/>
  </r>
  <r>
    <s v="Ghost in the Machine (feat. Phoebe Bridgers)"/>
    <s v="SZA, Phoebe Bridgers"/>
    <n v="2"/>
    <x v="2"/>
    <n v="12"/>
    <n v="9"/>
    <n v="1634"/>
    <n v="0"/>
    <n v="110073250"/>
    <n v="16"/>
    <n v="20"/>
    <x v="0"/>
    <n v="62"/>
    <x v="12"/>
  </r>
  <r>
    <s v="Special"/>
    <s v="SZA"/>
    <n v="1"/>
    <x v="2"/>
    <n v="12"/>
    <n v="9"/>
    <n v="906"/>
    <n v="0"/>
    <n v="88092256"/>
    <n v="6"/>
    <n v="21"/>
    <x v="99"/>
    <n v="60"/>
    <x v="77"/>
  </r>
  <r>
    <s v="Merry Christmas Everyone"/>
    <s v="Shakin' Stevens"/>
    <n v="1"/>
    <x v="24"/>
    <n v="1"/>
    <n v="1"/>
    <n v="1087"/>
    <n v="0"/>
    <n v="351636786"/>
    <n v="90"/>
    <n v="35"/>
    <x v="41"/>
    <n v="72"/>
    <x v="22"/>
  </r>
  <r>
    <s v="Let It Snow! Let It Snow! Let It Snow!"/>
    <s v="Frank Sinatra, B. Swanson Quartet"/>
    <n v="2"/>
    <x v="41"/>
    <n v="1"/>
    <n v="1"/>
    <n v="10585"/>
    <n v="0"/>
    <n v="473248298"/>
    <n v="126"/>
    <n v="108"/>
    <x v="57"/>
    <n v="60"/>
    <x v="62"/>
  </r>
  <r>
    <s v="SOS"/>
    <s v="SZA"/>
    <n v="1"/>
    <x v="2"/>
    <n v="12"/>
    <n v="9"/>
    <n v="827"/>
    <n v="0"/>
    <n v="73981293"/>
    <n v="6"/>
    <n v="18"/>
    <x v="72"/>
    <n v="51"/>
    <x v="16"/>
  </r>
  <r>
    <s v="Open Arms (feat. Travis Scott)"/>
    <s v="SZA, Travis Scott"/>
    <n v="2"/>
    <x v="2"/>
    <n v="12"/>
    <n v="8"/>
    <n v="1420"/>
    <n v="4"/>
    <n v="155653938"/>
    <n v="13"/>
    <n v="87"/>
    <x v="15"/>
    <n v="67"/>
    <x v="14"/>
  </r>
  <r>
    <s v="White Christmas"/>
    <s v="Bing Crosby, John Scott Trotter &amp; His Orchestra, Ken Darby Singers"/>
    <n v="3"/>
    <x v="42"/>
    <n v="1"/>
    <n v="1"/>
    <n v="11940"/>
    <n v="0"/>
    <n v="395591396"/>
    <n v="73"/>
    <n v="79"/>
    <x v="30"/>
    <n v="23"/>
    <x v="70"/>
  </r>
  <r>
    <s v="Driving Home for Christmas - 2019 Remaster"/>
    <s v="Chris Rea"/>
    <n v="1"/>
    <x v="43"/>
    <n v="1"/>
    <n v="1"/>
    <n v="888"/>
    <n v="0"/>
    <n v="429504768"/>
    <n v="50"/>
    <n v="0"/>
    <x v="29"/>
    <n v="51"/>
    <x v="5"/>
  </r>
  <r>
    <s v="Christmas (Baby Please Come Home)"/>
    <s v="Darlene Love"/>
    <n v="1"/>
    <x v="34"/>
    <n v="11"/>
    <n v="22"/>
    <n v="9122"/>
    <n v="0"/>
    <n v="242767149"/>
    <n v="121"/>
    <n v="58"/>
    <x v="25"/>
    <n v="34"/>
    <x v="6"/>
  </r>
  <r>
    <s v="Gone Girl"/>
    <s v="SZA"/>
    <n v="1"/>
    <x v="2"/>
    <n v="12"/>
    <n v="9"/>
    <n v="892"/>
    <n v="0"/>
    <n v="65362788"/>
    <n v="3"/>
    <n v="17"/>
    <x v="10"/>
    <n v="43"/>
    <x v="45"/>
  </r>
  <r>
    <s v="F2F"/>
    <s v="SZA"/>
    <n v="1"/>
    <x v="2"/>
    <n v="12"/>
    <n v="9"/>
    <n v="989"/>
    <n v="0"/>
    <n v="67540165"/>
    <n v="5"/>
    <n v="9"/>
    <x v="32"/>
    <n v="53"/>
    <x v="1"/>
  </r>
  <r>
    <s v="Notice Me"/>
    <s v="SZA"/>
    <n v="1"/>
    <x v="2"/>
    <n v="12"/>
    <n v="9"/>
    <n v="819"/>
    <n v="0"/>
    <n v="62019074"/>
    <n v="14"/>
    <n v="22"/>
    <x v="74"/>
    <n v="72"/>
    <x v="11"/>
  </r>
  <r>
    <s v="Merry Christmas"/>
    <s v="Ed Sheeran, Elton John"/>
    <n v="2"/>
    <x v="6"/>
    <n v="11"/>
    <n v="10"/>
    <n v="2209"/>
    <n v="0"/>
    <n v="135723538"/>
    <n v="72"/>
    <n v="90"/>
    <x v="64"/>
    <n v="59"/>
    <x v="58"/>
  </r>
  <r>
    <s v="It's Beginning to Look a Lot Like Christmas (with Mitchell Ayres &amp; His Orchestra)"/>
    <s v="Perry Como, The Fontane Sisters, Mitchell Ayres &amp; His Orchestra"/>
    <n v="3"/>
    <x v="32"/>
    <n v="1"/>
    <n v="1"/>
    <n v="6290"/>
    <n v="0"/>
    <n v="295998468"/>
    <n v="89"/>
    <n v="39"/>
    <x v="100"/>
    <n v="73"/>
    <x v="62"/>
  </r>
  <r>
    <s v="My Only Wish (This Year)"/>
    <s v="Britney Spears"/>
    <n v="1"/>
    <x v="25"/>
    <n v="11"/>
    <n v="7"/>
    <n v="6952"/>
    <n v="0"/>
    <n v="261116938"/>
    <n v="115"/>
    <n v="53"/>
    <x v="103"/>
    <n v="67"/>
    <x v="3"/>
  </r>
  <r>
    <s v="Antidepresan"/>
    <s v="Mabel Matiz, Mert Demir"/>
    <n v="2"/>
    <x v="2"/>
    <n v="11"/>
    <n v="4"/>
    <n v="313"/>
    <n v="2"/>
    <n v="136689549"/>
    <n v="10"/>
    <n v="6"/>
    <x v="7"/>
    <n v="70"/>
    <x v="14"/>
  </r>
  <r>
    <s v="Wild Flower (with youjeen)"/>
    <s v="RM"/>
    <n v="1"/>
    <x v="2"/>
    <n v="12"/>
    <n v="2"/>
    <n v="353"/>
    <n v="2"/>
    <n v="135611421"/>
    <n v="2"/>
    <n v="74"/>
    <x v="87"/>
    <n v="49"/>
    <x v="53"/>
  </r>
  <r>
    <s v="I Hate U"/>
    <s v="SZA"/>
    <n v="1"/>
    <x v="13"/>
    <n v="12"/>
    <n v="3"/>
    <n v="4094"/>
    <n v="0"/>
    <n v="356709897"/>
    <n v="66"/>
    <n v="96"/>
    <x v="21"/>
    <n v="54"/>
    <x v="60"/>
  </r>
  <r>
    <s v="Raindrops (Insane) [with Travis Scott]"/>
    <s v="Travis Scott, Metro Boomin"/>
    <n v="2"/>
    <x v="2"/>
    <n v="12"/>
    <n v="2"/>
    <n v="880"/>
    <n v="0"/>
    <n v="110649992"/>
    <n v="3"/>
    <n v="7"/>
    <x v="58"/>
    <n v="80"/>
    <x v="36"/>
  </r>
  <r>
    <s v="SPIT IN MY FACE!"/>
    <s v="ThxSoMch"/>
    <n v="1"/>
    <x v="2"/>
    <n v="10"/>
    <n v="31"/>
    <n v="573"/>
    <n v="0"/>
    <n v="301869854"/>
    <n v="1"/>
    <n v="0"/>
    <x v="82"/>
    <n v="70"/>
    <x v="41"/>
  </r>
  <r>
    <s v="Deck The Hall - Remastered 1999"/>
    <s v="Nat King Cole"/>
    <n v="1"/>
    <x v="35"/>
    <n v="1"/>
    <n v="1"/>
    <n v="3299"/>
    <n v="0"/>
    <n v="127027715"/>
    <n v="65"/>
    <n v="39"/>
    <x v="21"/>
    <n v="69"/>
    <x v="69"/>
  </r>
  <r>
    <s v="Smoking on my Ex Pack"/>
    <s v="SZA"/>
    <n v="1"/>
    <x v="2"/>
    <n v="12"/>
    <n v="9"/>
    <n v="811"/>
    <n v="0"/>
    <n v="57144458"/>
    <n v="6"/>
    <n v="11"/>
    <x v="45"/>
    <n v="47"/>
    <x v="11"/>
  </r>
  <r>
    <s v="Conceited"/>
    <s v="SZA"/>
    <n v="1"/>
    <x v="2"/>
    <n v="12"/>
    <n v="9"/>
    <n v="899"/>
    <n v="0"/>
    <n v="56870689"/>
    <n v="2"/>
    <n v="14"/>
    <x v="10"/>
    <n v="79"/>
    <x v="64"/>
  </r>
  <r>
    <s v="Snow On The Beach (feat. Lana Del Rey)"/>
    <s v="Taylor Swift, Lana Del Rey"/>
    <n v="2"/>
    <x v="2"/>
    <n v="10"/>
    <n v="21"/>
    <n v="2415"/>
    <n v="0"/>
    <n v="323437194"/>
    <n v="33"/>
    <n v="57"/>
    <x v="24"/>
    <n v="66"/>
    <x v="62"/>
  </r>
  <r>
    <s v="Maroon"/>
    <s v="Taylor Swift"/>
    <n v="1"/>
    <x v="2"/>
    <n v="10"/>
    <n v="21"/>
    <n v="2304"/>
    <n v="0"/>
    <n v="317726339"/>
    <n v="12"/>
    <n v="16"/>
    <x v="65"/>
    <n v="64"/>
    <x v="49"/>
  </r>
  <r>
    <s v="Tubar'o Te"/>
    <s v="Dj LK da Esc'cia, Tchakabum, mc jhenny, M"/>
    <n v="4"/>
    <x v="2"/>
    <n v="9"/>
    <n v="28"/>
    <n v="1003"/>
    <n v="0"/>
    <n v="116144341"/>
    <n v="21"/>
    <n v="0"/>
    <x v="8"/>
    <n v="89"/>
    <x v="1"/>
  </r>
  <r>
    <s v="Bejeweled"/>
    <s v="Taylor Swift"/>
    <n v="1"/>
    <x v="2"/>
    <n v="10"/>
    <n v="21"/>
    <n v="2699"/>
    <n v="0"/>
    <n v="328207708"/>
    <n v="39"/>
    <n v="35"/>
    <x v="79"/>
    <n v="70"/>
    <x v="29"/>
  </r>
  <r>
    <s v="Tarot"/>
    <s v="Bad Bunny, Jhay Cortez"/>
    <n v="2"/>
    <x v="2"/>
    <n v="5"/>
    <n v="6"/>
    <n v="2482"/>
    <n v="20"/>
    <n v="608228647"/>
    <n v="27"/>
    <n v="77"/>
    <x v="64"/>
    <n v="80"/>
    <x v="11"/>
  </r>
  <r>
    <s v="You Make It Feel Like Christmas (feat. Blake Shelton)"/>
    <s v="Gwen Stefani, Blake Shelton"/>
    <n v="2"/>
    <x v="44"/>
    <n v="9"/>
    <n v="20"/>
    <n v="2577"/>
    <n v="0"/>
    <n v="180577478"/>
    <n v="108"/>
    <n v="56"/>
    <x v="59"/>
    <n v="63"/>
    <x v="35"/>
  </r>
  <r>
    <s v="Desesperados"/>
    <s v="Chencho Corleone, Rauw Alejandro"/>
    <n v="2"/>
    <x v="13"/>
    <n v="6"/>
    <n v="25"/>
    <n v="6821"/>
    <n v="34"/>
    <n v="809306935"/>
    <n v="83"/>
    <n v="58"/>
    <x v="32"/>
    <n v="87"/>
    <x v="50"/>
  </r>
  <r>
    <s v="Too Late"/>
    <s v="SZA"/>
    <n v="1"/>
    <x v="2"/>
    <n v="12"/>
    <n v="8"/>
    <n v="714"/>
    <n v="0"/>
    <n v="49262961"/>
    <n v="0"/>
    <n v="9"/>
    <x v="33"/>
    <n v="45"/>
    <x v="11"/>
  </r>
  <r>
    <s v="Party"/>
    <s v="Bad Bunny, Rauw Alejandro"/>
    <n v="2"/>
    <x v="2"/>
    <n v="5"/>
    <n v="6"/>
    <n v="3185"/>
    <n v="4"/>
    <n v="614555082"/>
    <n v="38"/>
    <n v="64"/>
    <x v="28"/>
    <n v="83"/>
    <x v="4"/>
  </r>
  <r>
    <s v="Run Rudolph Run - Single Version"/>
    <s v="Chuck Berry"/>
    <n v="1"/>
    <x v="32"/>
    <n v="1"/>
    <n v="1"/>
    <n v="8612"/>
    <n v="0"/>
    <n v="245350949"/>
    <n v="120"/>
    <n v="30"/>
    <x v="107"/>
    <n v="69"/>
    <x v="7"/>
  </r>
  <r>
    <s v="Jingle Bells - Remastered 1999"/>
    <s v="Frank Sinatra"/>
    <n v="1"/>
    <x v="33"/>
    <n v="1"/>
    <n v="1"/>
    <n v="4326"/>
    <n v="0"/>
    <n v="178660459"/>
    <n v="32"/>
    <n v="3"/>
    <x v="97"/>
    <n v="51"/>
    <x v="42"/>
  </r>
  <r>
    <s v="Far"/>
    <s v="SZA"/>
    <n v="1"/>
    <x v="2"/>
    <n v="12"/>
    <n v="9"/>
    <n v="680"/>
    <n v="0"/>
    <n v="51641685"/>
    <n v="2"/>
    <n v="15"/>
    <x v="52"/>
    <n v="61"/>
    <x v="47"/>
  </r>
  <r>
    <s v="On Time (with John Legend)"/>
    <s v="John Legend, Metro Boomin"/>
    <n v="2"/>
    <x v="2"/>
    <n v="12"/>
    <n v="2"/>
    <n v="398"/>
    <n v="0"/>
    <n v="78139948"/>
    <n v="2"/>
    <n v="2"/>
    <x v="73"/>
    <n v="33"/>
    <x v="14"/>
  </r>
  <r>
    <s v="GAT'"/>
    <s v="Maldy, Karol G"/>
    <n v="2"/>
    <x v="2"/>
    <n v="8"/>
    <n v="25"/>
    <n v="3328"/>
    <n v="13"/>
    <n v="322336177"/>
    <n v="39"/>
    <n v="50"/>
    <x v="59"/>
    <n v="63"/>
    <x v="19"/>
  </r>
  <r>
    <s v="ýýýabcdefu"/>
    <s v="Gayle"/>
    <n v="1"/>
    <x v="13"/>
    <n v="8"/>
    <n v="13"/>
    <n v="7215"/>
    <n v="0"/>
    <n v="1007612429"/>
    <n v="170"/>
    <n v="12"/>
    <x v="22"/>
    <n v="70"/>
    <x v="36"/>
  </r>
  <r>
    <s v="Sacrifice"/>
    <s v="The Weeknd"/>
    <n v="1"/>
    <x v="2"/>
    <n v="1"/>
    <n v="7"/>
    <n v="4440"/>
    <n v="0"/>
    <n v="326792833"/>
    <n v="81"/>
    <n v="77"/>
    <x v="22"/>
    <n v="70"/>
    <x v="25"/>
  </r>
  <r>
    <s v="Is There Someone Else?"/>
    <s v="The Weeknd"/>
    <n v="1"/>
    <x v="2"/>
    <n v="1"/>
    <n v="7"/>
    <n v="2881"/>
    <n v="6"/>
    <n v="391251368"/>
    <n v="13"/>
    <n v="89"/>
    <x v="18"/>
    <n v="70"/>
    <x v="5"/>
  </r>
  <r>
    <s v="Fingers Crossed"/>
    <s v="Lauren Spencer Smith, Lauren Spencer Smith, Lauren Spencer Smith"/>
    <n v="3"/>
    <x v="2"/>
    <n v="1"/>
    <n v="5"/>
    <n v="2235"/>
    <n v="0"/>
    <n v="349585590"/>
    <n v="65"/>
    <n v="7"/>
    <x v="83"/>
    <n v="60"/>
    <x v="40"/>
  </r>
  <r>
    <s v="Out of Time"/>
    <s v="The Weeknd"/>
    <n v="1"/>
    <x v="2"/>
    <n v="1"/>
    <n v="7"/>
    <n v="3711"/>
    <n v="0"/>
    <n v="339659802"/>
    <n v="49"/>
    <n v="88"/>
    <x v="59"/>
    <n v="65"/>
    <x v="1"/>
  </r>
  <r>
    <s v="Do It To It"/>
    <s v="Cherish, ACRAZE"/>
    <n v="2"/>
    <x v="13"/>
    <n v="8"/>
    <n v="20"/>
    <n v="12403"/>
    <n v="0"/>
    <n v="674772936"/>
    <n v="183"/>
    <n v="63"/>
    <x v="0"/>
    <n v="85"/>
    <x v="31"/>
  </r>
  <r>
    <s v="We Don't Talk About Bruno"/>
    <s v="Adassa, Mauro Castillo, Stephanie Beatriz, Encanto - Cast, Rhenzy Feliz, Diane Guerrero, Carolina Gaitan"/>
    <n v="7"/>
    <x v="13"/>
    <n v="11"/>
    <n v="19"/>
    <n v="2785"/>
    <n v="0"/>
    <n v="432719968"/>
    <n v="95"/>
    <n v="89"/>
    <x v="60"/>
    <n v="58"/>
    <x v="54"/>
  </r>
  <r>
    <s v="Pepas"/>
    <s v="Farruko"/>
    <n v="1"/>
    <x v="13"/>
    <n v="6"/>
    <n v="24"/>
    <n v="14114"/>
    <n v="17"/>
    <n v="1309887447"/>
    <n v="252"/>
    <n v="109"/>
    <x v="8"/>
    <n v="76"/>
    <x v="53"/>
  </r>
  <r>
    <s v="How Do I Make You Love Me?"/>
    <s v="The Weeknd"/>
    <n v="1"/>
    <x v="2"/>
    <n v="1"/>
    <n v="7"/>
    <n v="1915"/>
    <n v="0"/>
    <n v="119238316"/>
    <n v="7"/>
    <n v="47"/>
    <x v="66"/>
    <n v="80"/>
    <x v="61"/>
  </r>
  <r>
    <s v="Gasoline"/>
    <s v="The Weeknd"/>
    <n v="1"/>
    <x v="2"/>
    <n v="1"/>
    <n v="7"/>
    <n v="2297"/>
    <n v="0"/>
    <n v="116903579"/>
    <n v="11"/>
    <n v="29"/>
    <x v="17"/>
    <n v="74"/>
    <x v="13"/>
  </r>
  <r>
    <s v="Infinity"/>
    <s v="Jaymes Young"/>
    <n v="1"/>
    <x v="6"/>
    <n v="6"/>
    <n v="23"/>
    <n v="4375"/>
    <n v="0"/>
    <n v="888046992"/>
    <n v="24"/>
    <n v="0"/>
    <x v="22"/>
    <n v="67"/>
    <x v="18"/>
  </r>
  <r>
    <s v="Less Than Zero"/>
    <s v="The Weeknd"/>
    <n v="1"/>
    <x v="2"/>
    <n v="1"/>
    <n v="7"/>
    <n v="2800"/>
    <n v="0"/>
    <n v="200660871"/>
    <n v="18"/>
    <n v="77"/>
    <x v="57"/>
    <n v="53"/>
    <x v="25"/>
  </r>
  <r>
    <s v="Take My Breath"/>
    <s v="The Weeknd"/>
    <n v="1"/>
    <x v="13"/>
    <n v="8"/>
    <n v="6"/>
    <n v="2597"/>
    <n v="0"/>
    <n v="130655803"/>
    <n v="17"/>
    <n v="80"/>
    <x v="66"/>
    <n v="70"/>
    <x v="53"/>
  </r>
  <r>
    <s v="good 4 u"/>
    <s v="Olivia Rodrigo"/>
    <n v="1"/>
    <x v="13"/>
    <n v="5"/>
    <n v="14"/>
    <n v="15563"/>
    <n v="6"/>
    <n v="1887039593"/>
    <n v="259"/>
    <n v="55"/>
    <x v="82"/>
    <n v="56"/>
    <x v="16"/>
  </r>
  <r>
    <s v="Here We Go' Again (feat. Tyler, the Cr"/>
    <s v="The Weeknd, Tyler, The Creator"/>
    <n v="3"/>
    <x v="2"/>
    <n v="1"/>
    <n v="7"/>
    <n v="1420"/>
    <n v="0"/>
    <n v="88103848"/>
    <n v="7"/>
    <n v="18"/>
    <x v="18"/>
    <n v="41"/>
    <x v="30"/>
  </r>
  <r>
    <s v="Best Friends"/>
    <s v="The Weeknd"/>
    <n v="1"/>
    <x v="2"/>
    <n v="1"/>
    <n v="7"/>
    <n v="1292"/>
    <n v="0"/>
    <n v="101114984"/>
    <n v="3"/>
    <n v="18"/>
    <x v="98"/>
    <n v="49"/>
    <x v="14"/>
  </r>
  <r>
    <s v="Kiss Me More (feat. SZA)"/>
    <s v="SZA, Doja Cat"/>
    <n v="2"/>
    <x v="13"/>
    <n v="4"/>
    <n v="9"/>
    <n v="15867"/>
    <n v="0"/>
    <n v="1575467011"/>
    <n v="382"/>
    <n v="65"/>
    <x v="95"/>
    <n v="77"/>
    <x v="16"/>
  </r>
  <r>
    <s v="I Heard You're Married (feat. Lil Wayne)"/>
    <s v="The Weeknd, Lil Wayne"/>
    <n v="2"/>
    <x v="2"/>
    <n v="1"/>
    <n v="7"/>
    <n v="1178"/>
    <n v="0"/>
    <n v="91656026"/>
    <n v="9"/>
    <n v="10"/>
    <x v="24"/>
    <n v="75"/>
    <x v="21"/>
  </r>
  <r>
    <s v="Need To Know"/>
    <s v="Doja Cat"/>
    <n v="1"/>
    <x v="13"/>
    <n v="6"/>
    <n v="11"/>
    <n v="6672"/>
    <n v="0"/>
    <n v="1042568408"/>
    <n v="125"/>
    <n v="36"/>
    <x v="8"/>
    <n v="66"/>
    <x v="23"/>
  </r>
  <r>
    <s v="MONTERO (Call Me By Your Name)"/>
    <s v="Lil Nas X"/>
    <n v="1"/>
    <x v="7"/>
    <n v="9"/>
    <n v="18"/>
    <n v="12329"/>
    <n v="0"/>
    <n v="1735441776"/>
    <n v="275"/>
    <n v="19"/>
    <x v="109"/>
    <n v="61"/>
    <x v="61"/>
  </r>
  <r>
    <s v="love nwantiti (ah ah ah)"/>
    <s v="Ckay"/>
    <n v="1"/>
    <x v="1"/>
    <n v="7"/>
    <n v="26"/>
    <n v="5669"/>
    <n v="2"/>
    <n v="726837877"/>
    <n v="74"/>
    <n v="0"/>
    <x v="59"/>
    <n v="74"/>
    <x v="13"/>
  </r>
  <r>
    <s v="Dawn FM"/>
    <s v="The Weeknd"/>
    <n v="1"/>
    <x v="2"/>
    <n v="1"/>
    <n v="7"/>
    <n v="811"/>
    <n v="0"/>
    <n v="53933526"/>
    <n v="1"/>
    <n v="8"/>
    <x v="15"/>
    <n v="27"/>
    <x v="72"/>
  </r>
  <r>
    <s v="Surface Pressure"/>
    <s v="Jessica Darrow"/>
    <n v="1"/>
    <x v="13"/>
    <n v="11"/>
    <n v="19"/>
    <n v="1756"/>
    <n v="0"/>
    <n v="267758538"/>
    <n v="38"/>
    <n v="48"/>
    <x v="29"/>
    <n v="65"/>
    <x v="5"/>
  </r>
  <r>
    <s v="Starry Eyes"/>
    <s v="The Weeknd"/>
    <n v="1"/>
    <x v="2"/>
    <n v="1"/>
    <n v="7"/>
    <n v="1014"/>
    <n v="0"/>
    <n v="74601456"/>
    <n v="1"/>
    <n v="17"/>
    <x v="110"/>
    <n v="28"/>
    <x v="43"/>
  </r>
  <r>
    <s v="THATS WHAT I WANT"/>
    <s v="Lil Nas X"/>
    <n v="1"/>
    <x v="13"/>
    <n v="9"/>
    <n v="17"/>
    <n v="7963"/>
    <n v="0"/>
    <n v="920797189"/>
    <n v="173"/>
    <n v="7"/>
    <x v="56"/>
    <n v="74"/>
    <x v="20"/>
  </r>
  <r>
    <s v="One Right Now (with The Weeknd)"/>
    <s v="The Weeknd, Post Malone"/>
    <n v="2"/>
    <x v="13"/>
    <n v="11"/>
    <n v="5"/>
    <n v="4771"/>
    <n v="0"/>
    <n v="539595276"/>
    <n v="68"/>
    <n v="18"/>
    <x v="28"/>
    <n v="68"/>
    <x v="39"/>
  </r>
  <r>
    <s v="Beggin"/>
    <s v="M'ne"/>
    <n v="1"/>
    <x v="6"/>
    <n v="12"/>
    <n v="8"/>
    <n v="8559"/>
    <n v="0"/>
    <n v="1367810478"/>
    <n v="183"/>
    <n v="64"/>
    <x v="35"/>
    <n v="71"/>
    <x v="4"/>
  </r>
  <r>
    <s v="Mon Amour - Remix"/>
    <s v="Aitana, zzoilo"/>
    <n v="2"/>
    <x v="7"/>
    <n v="9"/>
    <n v="21"/>
    <n v="3221"/>
    <n v="2"/>
    <n v="578207856"/>
    <n v="67"/>
    <n v="13"/>
    <x v="52"/>
    <n v="75"/>
    <x v="6"/>
  </r>
  <r>
    <s v="Lo Siento BB:/ (with Bad Bunny &amp; Julieta Venegas)"/>
    <s v="Julieta Venegas, Bad Bunny, Tainy"/>
    <n v="3"/>
    <x v="13"/>
    <n v="10"/>
    <n v="5"/>
    <n v="3423"/>
    <n v="26"/>
    <n v="775542072"/>
    <n v="61"/>
    <n v="65"/>
    <x v="3"/>
    <n v="64"/>
    <x v="34"/>
  </r>
  <r>
    <s v="MONEY"/>
    <s v="Lisa"/>
    <n v="1"/>
    <x v="13"/>
    <n v="9"/>
    <n v="10"/>
    <n v="2566"/>
    <n v="13"/>
    <n v="863625566"/>
    <n v="44"/>
    <n v="109"/>
    <x v="16"/>
    <n v="83"/>
    <x v="47"/>
  </r>
  <r>
    <s v="The Motto"/>
    <s v="Ti'sto, Ava"/>
    <n v="2"/>
    <x v="13"/>
    <n v="11"/>
    <n v="4"/>
    <n v="9151"/>
    <n v="6"/>
    <n v="656013912"/>
    <n v="240"/>
    <n v="107"/>
    <x v="11"/>
    <n v="75"/>
    <x v="6"/>
  </r>
  <r>
    <s v="Happier Than Ever"/>
    <s v="Billie Eilish"/>
    <n v="1"/>
    <x v="13"/>
    <n v="7"/>
    <n v="30"/>
    <n v="8476"/>
    <n v="0"/>
    <n v="1056760045"/>
    <n v="138"/>
    <n v="133"/>
    <x v="108"/>
    <n v="31"/>
    <x v="74"/>
  </r>
  <r>
    <s v="Moth To A Flame (with The Weeknd)"/>
    <s v="The Weeknd, Swedish House Mafia"/>
    <n v="2"/>
    <x v="13"/>
    <n v="10"/>
    <n v="22"/>
    <n v="7495"/>
    <n v="17"/>
    <n v="611994237"/>
    <n v="114"/>
    <n v="172"/>
    <x v="14"/>
    <n v="56"/>
    <x v="18"/>
  </r>
  <r>
    <s v="traitor"/>
    <s v="Juan Cruz Toledo, Huilen Toledo"/>
    <n v="2"/>
    <x v="13"/>
    <n v="5"/>
    <n v="21"/>
    <n v="5257"/>
    <n v="6"/>
    <n v="1230855859"/>
    <n v="85"/>
    <n v="43"/>
    <x v="94"/>
    <n v="29"/>
    <x v="63"/>
  </r>
  <r>
    <s v="Toxic"/>
    <s v="BoyWithUke"/>
    <n v="1"/>
    <x v="13"/>
    <n v="9"/>
    <n v="10"/>
    <n v="1795"/>
    <n v="0"/>
    <n v="582981380"/>
    <n v="34"/>
    <n v="23"/>
    <x v="29"/>
    <n v="59"/>
    <x v="23"/>
  </r>
  <r>
    <s v="drivers license"/>
    <s v="Olivia Rodrigo"/>
    <n v="1"/>
    <x v="13"/>
    <n v="1"/>
    <n v="8"/>
    <n v="12685"/>
    <n v="3"/>
    <n v="1858144199"/>
    <n v="185"/>
    <n v="61"/>
    <x v="4"/>
    <n v="59"/>
    <x v="12"/>
  </r>
  <r>
    <s v="Malvade½e"/>
    <s v="Xam', Gustah, Neo B"/>
    <n v="3"/>
    <x v="13"/>
    <n v="11"/>
    <n v="30"/>
    <n v="648"/>
    <n v="1"/>
    <n v="240684449"/>
    <n v="14"/>
    <n v="3"/>
    <x v="19"/>
    <n v="82"/>
    <x v="23"/>
  </r>
  <r>
    <s v="All Too Well (10 Minute Version) (Taylor's Version) (From The Vault)"/>
    <s v="Taylor Swift"/>
    <n v="1"/>
    <x v="13"/>
    <n v="11"/>
    <n v="12"/>
    <n v="4635"/>
    <n v="5"/>
    <n v="583687007"/>
    <n v="50"/>
    <n v="49"/>
    <x v="59"/>
    <n v="63"/>
    <x v="32"/>
  </r>
  <r>
    <s v="Don't Break My"/>
    <s v="The Weeknd"/>
    <n v="1"/>
    <x v="2"/>
    <n v="1"/>
    <n v="7"/>
    <n v="1184"/>
    <n v="0"/>
    <n v="63803529"/>
    <n v="1"/>
    <n v="5"/>
    <x v="22"/>
    <n v="77"/>
    <x v="8"/>
  </r>
  <r>
    <s v="Oh My God"/>
    <s v="Adele"/>
    <n v="1"/>
    <x v="13"/>
    <n v="11"/>
    <n v="19"/>
    <n v="4431"/>
    <n v="0"/>
    <n v="466214729"/>
    <n v="105"/>
    <n v="7"/>
    <x v="56"/>
    <n v="53"/>
    <x v="13"/>
  </r>
  <r>
    <s v="Entre Nosotros (Remix) [con Nicki Nicole]"/>
    <s v="Lit Killah, Maria Becerra, Tiago pzk, NICKI NICOLE"/>
    <n v="4"/>
    <x v="2"/>
    <n v="1"/>
    <n v="5"/>
    <n v="759"/>
    <n v="3"/>
    <n v="236940480"/>
    <n v="32"/>
    <n v="0"/>
    <x v="3"/>
    <n v="70"/>
    <x v="45"/>
  </r>
  <r>
    <s v="A Tale By Quincy"/>
    <s v="The Weeknd"/>
    <n v="1"/>
    <x v="2"/>
    <n v="1"/>
    <n v="7"/>
    <n v="733"/>
    <n v="0"/>
    <n v="41924466"/>
    <n v="0"/>
    <n v="2"/>
    <x v="46"/>
    <n v="46"/>
    <x v="27"/>
  </r>
  <r>
    <s v="I AM WOMAN"/>
    <s v="Emmy Meli"/>
    <n v="1"/>
    <x v="13"/>
    <n v="11"/>
    <n v="18"/>
    <n v="2795"/>
    <n v="0"/>
    <n v="225259194"/>
    <n v="45"/>
    <n v="0"/>
    <x v="3"/>
    <n v="65"/>
    <x v="40"/>
  </r>
  <r>
    <s v="Medallo"/>
    <s v="Justin Quiles, Lenny Tav'rez, BL"/>
    <n v="3"/>
    <x v="13"/>
    <n v="10"/>
    <n v="27"/>
    <n v="2780"/>
    <n v="2"/>
    <n v="393230256"/>
    <n v="54"/>
    <n v="21"/>
    <x v="32"/>
    <n v="79"/>
    <x v="34"/>
  </r>
  <r>
    <s v="It'll Be Okay"/>
    <s v="Shawn Mendes"/>
    <n v="1"/>
    <x v="13"/>
    <n v="12"/>
    <n v="1"/>
    <n v="1950"/>
    <n v="0"/>
    <n v="287201015"/>
    <n v="56"/>
    <n v="8"/>
    <x v="15"/>
    <n v="40"/>
    <x v="78"/>
  </r>
  <r>
    <s v="Softcore"/>
    <s v="The Neighbourhood"/>
    <n v="1"/>
    <x v="5"/>
    <n v="3"/>
    <n v="9"/>
    <n v="3947"/>
    <n v="12"/>
    <n v="599770206"/>
    <n v="33"/>
    <n v="102"/>
    <x v="46"/>
    <n v="57"/>
    <x v="5"/>
  </r>
  <r>
    <s v="Super Gremlin"/>
    <s v="Kodak Black"/>
    <n v="1"/>
    <x v="13"/>
    <n v="10"/>
    <n v="30"/>
    <n v="2551"/>
    <n v="0"/>
    <n v="342779426"/>
    <n v="52"/>
    <n v="15"/>
    <x v="111"/>
    <n v="83"/>
    <x v="43"/>
  </r>
  <r>
    <s v="Volve"/>
    <s v="Aventura, Bad Bunny"/>
    <n v="2"/>
    <x v="13"/>
    <n v="8"/>
    <n v="3"/>
    <n v="5375"/>
    <n v="10"/>
    <n v="673801126"/>
    <n v="138"/>
    <n v="24"/>
    <x v="94"/>
    <n v="73"/>
    <x v="19"/>
  </r>
  <r>
    <s v="Todo De Ti"/>
    <s v="Rauw Alejandro"/>
    <n v="1"/>
    <x v="7"/>
    <n v="11"/>
    <n v="2"/>
    <n v="11975"/>
    <n v="8"/>
    <n v="1168642797"/>
    <n v="188"/>
    <n v="75"/>
    <x v="33"/>
    <n v="81"/>
    <x v="24"/>
  </r>
  <r>
    <s v="Love Nwantiti - Remix"/>
    <s v="Ckay, AX'EL, Dj Yo!"/>
    <n v="3"/>
    <x v="1"/>
    <n v="8"/>
    <n v="30"/>
    <n v="2696"/>
    <n v="0"/>
    <n v="540539717"/>
    <n v="42"/>
    <n v="2"/>
    <x v="14"/>
    <n v="58"/>
    <x v="44"/>
  </r>
  <r>
    <s v="Smokin Out The Window"/>
    <s v="Bruno Mars, Anderson .Paak, Silk Sonic"/>
    <n v="3"/>
    <x v="13"/>
    <n v="11"/>
    <n v="5"/>
    <n v="4963"/>
    <n v="0"/>
    <n v="383550148"/>
    <n v="63"/>
    <n v="40"/>
    <x v="44"/>
    <n v="63"/>
    <x v="8"/>
  </r>
  <r>
    <s v="Meet Me At Our Spot"/>
    <s v="THE ANXIETY, Willow, Tyler Cole"/>
    <n v="3"/>
    <x v="7"/>
    <n v="3"/>
    <n v="13"/>
    <n v="6734"/>
    <n v="0"/>
    <n v="530511203"/>
    <n v="47"/>
    <n v="14"/>
    <x v="31"/>
    <n v="77"/>
    <x v="40"/>
  </r>
  <r>
    <s v="Every Angel is Terrifying"/>
    <s v="The Weeknd"/>
    <n v="1"/>
    <x v="2"/>
    <n v="1"/>
    <n v="7"/>
    <n v="715"/>
    <n v="0"/>
    <n v="37307967"/>
    <n v="0"/>
    <n v="1"/>
    <x v="11"/>
    <n v="44"/>
    <x v="58"/>
  </r>
  <r>
    <s v="Tacones Rojos"/>
    <s v="Sebastian Yatra"/>
    <n v="1"/>
    <x v="13"/>
    <n v="10"/>
    <n v="22"/>
    <n v="3047"/>
    <n v="9"/>
    <n v="510876816"/>
    <n v="77"/>
    <n v="31"/>
    <x v="17"/>
    <n v="75"/>
    <x v="19"/>
  </r>
  <r>
    <s v="Peaches (feat. Daniel Caesar &amp; Giveon)"/>
    <s v="Justin Bieber, Daniel Caesar, Giveon"/>
    <n v="3"/>
    <x v="13"/>
    <n v="3"/>
    <n v="19"/>
    <n v="14140"/>
    <n v="0"/>
    <n v="1445941661"/>
    <n v="231"/>
    <n v="52"/>
    <x v="32"/>
    <n v="63"/>
    <x v="11"/>
  </r>
  <r>
    <s v="Dakiti"/>
    <s v="Bad Bunny, Jhay Cortez"/>
    <n v="2"/>
    <x v="7"/>
    <n v="10"/>
    <n v="30"/>
    <n v="11215"/>
    <n v="21"/>
    <n v="1763363713"/>
    <n v="189"/>
    <n v="166"/>
    <x v="24"/>
    <n v="73"/>
    <x v="41"/>
  </r>
  <r>
    <s v="Tiago PZK: Bzrp Music Sessions, Vol. 48"/>
    <s v="Bizarrap, Tiago pzk"/>
    <n v="2"/>
    <x v="13"/>
    <n v="12"/>
    <n v="29"/>
    <n v="1678"/>
    <n v="12"/>
    <n v="374191487"/>
    <n v="20"/>
    <n v="4"/>
    <x v="30"/>
    <n v="66"/>
    <x v="10"/>
  </r>
  <r>
    <s v="L'e"/>
    <s v="Stromae"/>
    <n v="1"/>
    <x v="2"/>
    <n v="1"/>
    <n v="9"/>
    <n v="2035"/>
    <n v="0"/>
    <n v="108809090"/>
    <n v="41"/>
    <n v="122"/>
    <x v="56"/>
    <n v="56"/>
    <x v="47"/>
  </r>
  <r>
    <s v="Nost'l"/>
    <s v="Chris Brown, Rvssian, Rauw Alejandro"/>
    <n v="3"/>
    <x v="13"/>
    <n v="9"/>
    <n v="8"/>
    <n v="2780"/>
    <n v="2"/>
    <n v="436695353"/>
    <n v="86"/>
    <n v="76"/>
    <x v="27"/>
    <n v="73"/>
    <x v="20"/>
  </r>
  <r>
    <s v="Better Days (NEIKED x Mae Muller x Polo G)"/>
    <s v="NEIKED, Mae Muller, Polo G"/>
    <n v="3"/>
    <x v="13"/>
    <n v="9"/>
    <n v="24"/>
    <n v="4091"/>
    <n v="0"/>
    <n v="421040617"/>
    <n v="105"/>
    <n v="2"/>
    <x v="24"/>
    <n v="72"/>
    <x v="11"/>
  </r>
  <r>
    <s v="Life Goes On"/>
    <s v="Oliver Tree"/>
    <n v="1"/>
    <x v="7"/>
    <n v="7"/>
    <n v="17"/>
    <n v="2868"/>
    <n v="0"/>
    <n v="501541661"/>
    <n v="43"/>
    <n v="15"/>
    <x v="73"/>
    <n v="70"/>
    <x v="72"/>
  </r>
  <r>
    <s v="Sad Girlz Luv Money Remix (feat. Kali Uchis)"/>
    <s v="Kali Uchis, Amaarae, Moliy"/>
    <n v="3"/>
    <x v="13"/>
    <n v="9"/>
    <n v="16"/>
    <n v="3643"/>
    <n v="0"/>
    <n v="354065229"/>
    <n v="69"/>
    <n v="3"/>
    <x v="24"/>
    <n v="86"/>
    <x v="2"/>
  </r>
  <r>
    <s v="Butter"/>
    <s v="BTS"/>
    <n v="1"/>
    <x v="13"/>
    <n v="5"/>
    <n v="21"/>
    <n v="4779"/>
    <n v="6"/>
    <n v="1143647827"/>
    <n v="180"/>
    <n v="135"/>
    <x v="24"/>
    <n v="79"/>
    <x v="69"/>
  </r>
  <r>
    <s v="pushin P (feat. Young Thug)"/>
    <s v="Young Thug, Future, Gunna"/>
    <n v="3"/>
    <x v="2"/>
    <n v="1"/>
    <n v="7"/>
    <n v="3517"/>
    <n v="0"/>
    <n v="311395144"/>
    <n v="54"/>
    <n v="28"/>
    <x v="15"/>
    <n v="77"/>
    <x v="17"/>
  </r>
  <r>
    <s v="You Right"/>
    <s v="Doja Cat, The Weeknd"/>
    <n v="2"/>
    <x v="13"/>
    <n v="6"/>
    <n v="24"/>
    <n v="5073"/>
    <n v="0"/>
    <n v="672656250"/>
    <n v="83"/>
    <n v="9"/>
    <x v="53"/>
    <n v="83"/>
    <x v="8"/>
  </r>
  <r>
    <s v="deja vu"/>
    <s v="Olivia Rodrigo"/>
    <n v="1"/>
    <x v="13"/>
    <n v="4"/>
    <n v="1"/>
    <n v="7545"/>
    <n v="4"/>
    <n v="1256880657"/>
    <n v="117"/>
    <n v="39"/>
    <x v="112"/>
    <n v="44"/>
    <x v="44"/>
  </r>
  <r>
    <s v="Dynamite"/>
    <s v="BTS"/>
    <n v="1"/>
    <x v="7"/>
    <n v="8"/>
    <n v="21"/>
    <n v="8528"/>
    <n v="5"/>
    <n v="1692897992"/>
    <n v="239"/>
    <n v="163"/>
    <x v="64"/>
    <n v="75"/>
    <x v="53"/>
  </r>
  <r>
    <s v="TO THE MOON"/>
    <s v="Jnr Choi"/>
    <n v="1"/>
    <x v="13"/>
    <n v="11"/>
    <n v="5"/>
    <n v="2979"/>
    <n v="0"/>
    <n v="245095641"/>
    <n v="44"/>
    <n v="0"/>
    <x v="4"/>
    <n v="74"/>
    <x v="26"/>
  </r>
  <r>
    <s v="Lost in the Fire"/>
    <s v="The Weeknd, Gesaffelstein"/>
    <n v="2"/>
    <x v="1"/>
    <n v="1"/>
    <n v="11"/>
    <n v="7731"/>
    <n v="2"/>
    <n v="686734357"/>
    <n v="110"/>
    <n v="145"/>
    <x v="41"/>
    <n v="66"/>
    <x v="11"/>
  </r>
  <r>
    <s v="Salimo de Noche"/>
    <s v="Trueno, Tiago pzk"/>
    <n v="2"/>
    <x v="13"/>
    <n v="10"/>
    <n v="21"/>
    <n v="1057"/>
    <n v="0"/>
    <n v="261414174"/>
    <n v="17"/>
    <n v="5"/>
    <x v="61"/>
    <n v="67"/>
    <x v="24"/>
  </r>
  <r>
    <s v="Volando - Remix"/>
    <s v="Sech, Bad Bunny, Mora"/>
    <n v="3"/>
    <x v="13"/>
    <n v="7"/>
    <n v="8"/>
    <n v="3272"/>
    <n v="19"/>
    <n v="610045621"/>
    <n v="101"/>
    <n v="34"/>
    <x v="77"/>
    <n v="66"/>
    <x v="50"/>
  </r>
  <r>
    <s v="Leave The Door Open"/>
    <s v="Bruno Mars, Anderson .Paak, Silk Sonic"/>
    <n v="3"/>
    <x v="13"/>
    <n v="3"/>
    <n v="5"/>
    <n v="14417"/>
    <n v="0"/>
    <n v="1115880852"/>
    <n v="237"/>
    <n v="123"/>
    <x v="6"/>
    <n v="59"/>
    <x v="8"/>
  </r>
  <r>
    <s v="Knife Talk (with 21 Savage ft. Project Pat)"/>
    <s v="Drake, Project Pat, 21 Savage"/>
    <n v="3"/>
    <x v="13"/>
    <n v="9"/>
    <n v="3"/>
    <n v="5199"/>
    <n v="0"/>
    <n v="594482982"/>
    <n v="45"/>
    <n v="43"/>
    <x v="70"/>
    <n v="85"/>
    <x v="56"/>
  </r>
  <r>
    <s v="Don't Be Shy"/>
    <s v="Ti'sto, Kar"/>
    <n v="2"/>
    <x v="13"/>
    <n v="8"/>
    <n v="1"/>
    <n v="6026"/>
    <n v="0"/>
    <n v="566954746"/>
    <n v="171"/>
    <n v="51"/>
    <x v="14"/>
    <n v="77"/>
    <x v="25"/>
  </r>
  <r>
    <s v="Love Grows (Where My Rosemary Goes)"/>
    <s v="Edison Lighthouse"/>
    <n v="1"/>
    <x v="36"/>
    <n v="1"/>
    <n v="1"/>
    <n v="2877"/>
    <n v="0"/>
    <s v="BPM110KeyAModeMajorDanceability53Valence75Energy69Acousticness7Instrumentalness0Liveness17Speechiness3"/>
    <n v="16"/>
    <n v="0"/>
    <x v="24"/>
    <n v="53"/>
    <x v="50"/>
  </r>
  <r>
    <s v="LA FAMA (with The Weeknd)"/>
    <s v="The Weeknd, ROSALIA"/>
    <n v="2"/>
    <x v="13"/>
    <n v="11"/>
    <n v="11"/>
    <n v="4640"/>
    <n v="3"/>
    <n v="374706940"/>
    <n v="81"/>
    <n v="93"/>
    <x v="55"/>
    <n v="77"/>
    <x v="52"/>
  </r>
  <r>
    <s v="The Family Madrigal"/>
    <s v="Olga Merediz, Stephanie Beatriz, Encanto - Cast"/>
    <n v="3"/>
    <x v="13"/>
    <n v="11"/>
    <n v="19"/>
    <n v="1150"/>
    <n v="0"/>
    <n v="184937148"/>
    <n v="20"/>
    <n v="38"/>
    <x v="5"/>
    <n v="59"/>
    <x v="24"/>
  </r>
  <r>
    <s v="Phantom Regret by Jim"/>
    <s v="The Weeknd"/>
    <n v="1"/>
    <x v="2"/>
    <n v="1"/>
    <n v="7"/>
    <n v="768"/>
    <n v="0"/>
    <n v="31959571"/>
    <n v="1"/>
    <n v="1"/>
    <x v="65"/>
    <n v="46"/>
    <x v="9"/>
  </r>
  <r>
    <s v="Dos Oruguitas"/>
    <s v="Sebastian Yatra"/>
    <n v="1"/>
    <x v="13"/>
    <n v="11"/>
    <n v="19"/>
    <n v="925"/>
    <n v="0"/>
    <n v="167076418"/>
    <n v="24"/>
    <n v="47"/>
    <x v="46"/>
    <n v="42"/>
    <x v="69"/>
  </r>
  <r>
    <s v="Freaks"/>
    <s v="Surf Curse"/>
    <n v="1"/>
    <x v="14"/>
    <n v="5"/>
    <n v="10"/>
    <n v="3006"/>
    <n v="3"/>
    <n v="824420218"/>
    <n v="23"/>
    <n v="21"/>
    <x v="29"/>
    <n v="35"/>
    <x v="58"/>
  </r>
  <r>
    <s v="Acapulco"/>
    <s v="Jason Derulo"/>
    <n v="1"/>
    <x v="13"/>
    <n v="9"/>
    <n v="1"/>
    <n v="3098"/>
    <n v="0"/>
    <n v="363467642"/>
    <n v="111"/>
    <n v="5"/>
    <x v="22"/>
    <n v="77"/>
    <x v="25"/>
  </r>
  <r>
    <s v="Daddy Issues"/>
    <s v="The Neighbourhood"/>
    <n v="1"/>
    <x v="14"/>
    <n v="10"/>
    <n v="30"/>
    <n v="9771"/>
    <n v="4"/>
    <n v="1127468248"/>
    <n v="42"/>
    <n v="70"/>
    <x v="81"/>
    <n v="59"/>
    <x v="32"/>
  </r>
  <r>
    <s v="thought i was playing"/>
    <s v="21 Savage, Gunna"/>
    <n v="2"/>
    <x v="2"/>
    <n v="1"/>
    <n v="7"/>
    <n v="807"/>
    <n v="0"/>
    <n v="60680939"/>
    <n v="3"/>
    <n v="0"/>
    <x v="6"/>
    <n v="68"/>
    <x v="13"/>
  </r>
  <r>
    <s v="ELEVEN"/>
    <s v="IVE"/>
    <n v="1"/>
    <x v="13"/>
    <n v="12"/>
    <n v="1"/>
    <n v="521"/>
    <n v="1"/>
    <n v="247737946"/>
    <n v="17"/>
    <n v="89"/>
    <x v="14"/>
    <n v="83"/>
    <x v="13"/>
  </r>
  <r>
    <s v="Mood (feat. Iann Dior)"/>
    <s v="24kgoldn, Iann Dior"/>
    <n v="2"/>
    <x v="7"/>
    <n v="7"/>
    <n v="24"/>
    <n v="12854"/>
    <n v="0"/>
    <n v="1699402402"/>
    <n v="237"/>
    <n v="27"/>
    <x v="90"/>
    <n v="70"/>
    <x v="3"/>
  </r>
  <r>
    <s v="What Else Can I Do?"/>
    <s v="Stephanie Beatriz, Diane Guerrero"/>
    <n v="2"/>
    <x v="13"/>
    <n v="11"/>
    <n v="19"/>
    <n v="802"/>
    <n v="0"/>
    <n v="154797871"/>
    <n v="13"/>
    <n v="27"/>
    <x v="14"/>
    <n v="72"/>
    <x v="7"/>
  </r>
  <r>
    <s v="DANCE CRIP"/>
    <s v="Trueno"/>
    <n v="1"/>
    <x v="13"/>
    <n v="11"/>
    <n v="17"/>
    <n v="731"/>
    <n v="0"/>
    <n v="198883004"/>
    <n v="14"/>
    <n v="14"/>
    <x v="38"/>
    <n v="86"/>
    <x v="25"/>
  </r>
  <r>
    <s v="Miserable Man"/>
    <s v="David Kushner"/>
    <n v="1"/>
    <x v="2"/>
    <n v="1"/>
    <n v="7"/>
    <n v="788"/>
    <n v="0"/>
    <n v="124407432"/>
    <n v="13"/>
    <n v="0"/>
    <x v="24"/>
    <n v="63"/>
    <x v="46"/>
  </r>
  <r>
    <s v="happier"/>
    <s v="Olivia Rodrigo"/>
    <n v="1"/>
    <x v="13"/>
    <n v="5"/>
    <n v="21"/>
    <n v="3069"/>
    <n v="4"/>
    <n v="850608354"/>
    <n v="25"/>
    <n v="46"/>
    <x v="89"/>
    <n v="39"/>
    <x v="54"/>
  </r>
  <r>
    <s v="Praise God"/>
    <s v="Kanye West"/>
    <n v="1"/>
    <x v="13"/>
    <n v="8"/>
    <n v="29"/>
    <n v="4651"/>
    <n v="0"/>
    <n v="376333030"/>
    <n v="24"/>
    <n v="6"/>
    <x v="11"/>
    <n v="80"/>
    <x v="47"/>
  </r>
  <r>
    <s v="Get Into It (Yuh)"/>
    <s v="Doja Cat"/>
    <n v="1"/>
    <x v="13"/>
    <n v="6"/>
    <n v="25"/>
    <n v="4999"/>
    <n v="0"/>
    <n v="516784627"/>
    <n v="43"/>
    <n v="19"/>
    <x v="1"/>
    <n v="91"/>
    <x v="16"/>
  </r>
  <r>
    <s v="Before You Go"/>
    <s v="Lewis Capaldi"/>
    <n v="1"/>
    <x v="1"/>
    <n v="11"/>
    <n v="1"/>
    <n v="8327"/>
    <n v="24"/>
    <n v="1608045237"/>
    <n v="205"/>
    <n v="130"/>
    <x v="58"/>
    <n v="45"/>
    <x v="44"/>
  </r>
  <r>
    <s v="Sky"/>
    <s v="Playboi Carti"/>
    <n v="1"/>
    <x v="7"/>
    <n v="12"/>
    <n v="25"/>
    <n v="3297"/>
    <n v="3"/>
    <n v="506778838"/>
    <n v="25"/>
    <n v="3"/>
    <x v="16"/>
    <n v="79"/>
    <x v="33"/>
  </r>
  <r>
    <s v="Rolling in the Deep"/>
    <s v="Adele"/>
    <n v="1"/>
    <x v="20"/>
    <n v="11"/>
    <n v="29"/>
    <n v="35684"/>
    <n v="6"/>
    <n v="1472799873"/>
    <n v="195"/>
    <n v="125"/>
    <x v="86"/>
    <n v="73"/>
    <x v="6"/>
  </r>
  <r>
    <s v="Sobrio"/>
    <s v="Maluma"/>
    <n v="1"/>
    <x v="13"/>
    <n v="7"/>
    <n v="8"/>
    <n v="3506"/>
    <n v="10"/>
    <n v="513643924"/>
    <n v="103"/>
    <n v="76"/>
    <x v="93"/>
    <n v="76"/>
    <x v="53"/>
  </r>
  <r>
    <s v="Peru"/>
    <s v="Ed Sheeran, Fireboy DML"/>
    <n v="2"/>
    <x v="13"/>
    <n v="12"/>
    <n v="23"/>
    <n v="2999"/>
    <n v="0"/>
    <n v="261286503"/>
    <n v="60"/>
    <n v="17"/>
    <x v="65"/>
    <n v="96"/>
    <x v="17"/>
  </r>
  <r>
    <s v="favorite crime"/>
    <s v="Olivia Rodrigo"/>
    <n v="1"/>
    <x v="13"/>
    <n v="5"/>
    <n v="21"/>
    <n v="3681"/>
    <n v="0"/>
    <n v="783706581"/>
    <n v="20"/>
    <n v="21"/>
    <x v="42"/>
    <n v="40"/>
    <x v="78"/>
  </r>
  <r>
    <s v="Thunder"/>
    <s v="Prezioso, Gabry Ponte, LUM!X"/>
    <n v="3"/>
    <x v="13"/>
    <n v="5"/>
    <n v="7"/>
    <n v="4846"/>
    <n v="10"/>
    <n v="422691058"/>
    <n v="54"/>
    <n v="16"/>
    <x v="41"/>
    <n v="67"/>
    <x v="48"/>
  </r>
  <r>
    <s v="The Business"/>
    <s v="Tie½e"/>
    <n v="1"/>
    <x v="7"/>
    <n v="1"/>
    <n v="1"/>
    <n v="14311"/>
    <n v="0"/>
    <n v="1062345656"/>
    <n v="255"/>
    <n v="32"/>
    <x v="14"/>
    <n v="80"/>
    <x v="8"/>
  </r>
  <r>
    <s v="positions"/>
    <s v="Ariana Grande"/>
    <n v="1"/>
    <x v="7"/>
    <n v="10"/>
    <n v="23"/>
    <n v="8207"/>
    <n v="0"/>
    <n v="1252563873"/>
    <n v="175"/>
    <n v="55"/>
    <x v="4"/>
    <n v="73"/>
    <x v="4"/>
  </r>
  <r>
    <s v="I WANNA BE YOUR SLAVE"/>
    <s v="M'ne"/>
    <n v="1"/>
    <x v="13"/>
    <n v="3"/>
    <n v="19"/>
    <n v="4873"/>
    <n v="0"/>
    <n v="851070493"/>
    <n v="65"/>
    <n v="88"/>
    <x v="19"/>
    <n v="75"/>
    <x v="23"/>
  </r>
  <r>
    <s v="Vai L' Em Casa "/>
    <s v="Mar'lia Mendon'a, George Henrique &amp;"/>
    <n v="2"/>
    <x v="13"/>
    <n v="10"/>
    <n v="22"/>
    <n v="772"/>
    <n v="0"/>
    <n v="263894529"/>
    <n v="7"/>
    <n v="3"/>
    <x v="62"/>
    <n v="46"/>
    <x v="0"/>
  </r>
  <r>
    <s v="The Feels"/>
    <s v="TWICE"/>
    <n v="1"/>
    <x v="13"/>
    <n v="10"/>
    <n v="1"/>
    <n v="1150"/>
    <n v="0"/>
    <n v="345903614"/>
    <n v="20"/>
    <n v="99"/>
    <x v="14"/>
    <n v="81"/>
    <x v="48"/>
  </r>
  <r>
    <s v="HEARTBREAK ANNIVERSARY"/>
    <s v="Giveon"/>
    <n v="1"/>
    <x v="7"/>
    <n v="2"/>
    <n v="21"/>
    <n v="5398"/>
    <n v="4"/>
    <n v="951637566"/>
    <n v="111"/>
    <n v="127"/>
    <x v="53"/>
    <n v="61"/>
    <x v="64"/>
  </r>
  <r>
    <s v="No Lie"/>
    <s v="Sean Paul, Dua Lipa"/>
    <n v="2"/>
    <x v="8"/>
    <n v="11"/>
    <n v="18"/>
    <n v="7370"/>
    <n v="0"/>
    <n v="956865266"/>
    <n v="92"/>
    <n v="127"/>
    <x v="50"/>
    <n v="74"/>
    <x v="38"/>
  </r>
  <r>
    <s v="OUT OUT (feat. Charli XCX &amp; Saweetie)"/>
    <s v="Charli XCX, Jax Jones, Joel Corry, Saweetie"/>
    <n v="4"/>
    <x v="13"/>
    <n v="8"/>
    <n v="13"/>
    <n v="6890"/>
    <n v="0"/>
    <n v="427486004"/>
    <n v="122"/>
    <n v="11"/>
    <x v="47"/>
    <n v="79"/>
    <x v="21"/>
  </r>
  <r>
    <s v="Pope Is a Rockstar"/>
    <s v="SALES"/>
    <n v="1"/>
    <x v="8"/>
    <n v="4"/>
    <n v="20"/>
    <n v="1966"/>
    <n v="0"/>
    <n v="156658366"/>
    <n v="4"/>
    <n v="2"/>
    <x v="32"/>
    <n v="73"/>
    <x v="54"/>
  </r>
  <r>
    <n v="2055"/>
    <s v="Sleepy hallow"/>
    <n v="1"/>
    <x v="13"/>
    <n v="4"/>
    <n v="14"/>
    <n v="2226"/>
    <n v="0"/>
    <n v="624515457"/>
    <n v="29"/>
    <n v="0"/>
    <x v="113"/>
    <n v="78"/>
    <x v="32"/>
  </r>
  <r>
    <s v="Bored"/>
    <s v="Billie Eilish"/>
    <n v="1"/>
    <x v="6"/>
    <n v="3"/>
    <n v="30"/>
    <n v="4204"/>
    <n v="0"/>
    <n v="777765388"/>
    <n v="39"/>
    <n v="45"/>
    <x v="14"/>
    <n v="60"/>
    <x v="63"/>
  </r>
  <r>
    <s v="Happier Than Ever - Edit"/>
    <s v="Billie Eilish"/>
    <n v="1"/>
    <x v="13"/>
    <n v="7"/>
    <n v="28"/>
    <n v="1959"/>
    <n v="0"/>
    <n v="412795151"/>
    <n v="19"/>
    <n v="0"/>
    <x v="45"/>
    <n v="45"/>
    <x v="41"/>
  </r>
  <r>
    <s v="Astronaut In The Ocean"/>
    <s v="Masked Wolf"/>
    <n v="1"/>
    <x v="1"/>
    <n v="1"/>
    <n v="1"/>
    <n v="7191"/>
    <n v="0"/>
    <n v="1138474110"/>
    <n v="146"/>
    <n v="18"/>
    <x v="10"/>
    <n v="78"/>
    <x v="34"/>
  </r>
  <r>
    <s v="Ley Seca"/>
    <s v="Anuel Aa, Jhay Cortez"/>
    <n v="2"/>
    <x v="13"/>
    <n v="9"/>
    <n v="2"/>
    <n v="2012"/>
    <n v="0"/>
    <n v="355219175"/>
    <n v="101"/>
    <n v="12"/>
    <x v="86"/>
    <n v="76"/>
    <x v="21"/>
  </r>
  <r>
    <s v="Every Summertime"/>
    <s v="NIKI"/>
    <n v="1"/>
    <x v="13"/>
    <n v="8"/>
    <n v="10"/>
    <n v="1211"/>
    <n v="2"/>
    <n v="290228626"/>
    <n v="30"/>
    <n v="2"/>
    <x v="34"/>
    <n v="63"/>
    <x v="18"/>
  </r>
  <r>
    <s v="Talking To The Moon"/>
    <s v="Bruno Mars"/>
    <n v="1"/>
    <x v="20"/>
    <n v="10"/>
    <n v="4"/>
    <n v="7109"/>
    <n v="2"/>
    <n v="1062956628"/>
    <n v="5"/>
    <n v="0"/>
    <x v="70"/>
    <n v="52"/>
    <x v="23"/>
  </r>
  <r>
    <s v="you broke me first"/>
    <s v="Tate McRae"/>
    <n v="1"/>
    <x v="7"/>
    <n v="4"/>
    <n v="17"/>
    <n v="6638"/>
    <n v="0"/>
    <n v="1180094974"/>
    <n v="167"/>
    <n v="19"/>
    <x v="47"/>
    <n v="64"/>
    <x v="56"/>
  </r>
  <r>
    <s v="The Nights"/>
    <s v="Avicii"/>
    <n v="1"/>
    <x v="4"/>
    <n v="1"/>
    <n v="1"/>
    <n v="17354"/>
    <n v="8"/>
    <n v="1456081449"/>
    <n v="92"/>
    <n v="122"/>
    <x v="25"/>
    <n v="53"/>
    <x v="20"/>
  </r>
  <r>
    <s v="Take My Breath"/>
    <s v="The Weeknd"/>
    <n v="1"/>
    <x v="13"/>
    <n v="8"/>
    <n v="6"/>
    <n v="6392"/>
    <n v="0"/>
    <n v="432702334"/>
    <n v="174"/>
    <n v="73"/>
    <x v="66"/>
    <n v="75"/>
    <x v="1"/>
  </r>
  <r>
    <s v="Way 2 Sexy (with Future &amp; Young Thug)"/>
    <s v="Drake, Future, Young Thug"/>
    <n v="3"/>
    <x v="13"/>
    <n v="9"/>
    <n v="3"/>
    <n v="5481"/>
    <n v="0"/>
    <n v="489945871"/>
    <n v="144"/>
    <n v="30"/>
    <x v="55"/>
    <n v="80"/>
    <x v="44"/>
  </r>
  <r>
    <s v="C'"/>
    <s v="Rauw Alejandro"/>
    <n v="1"/>
    <x v="13"/>
    <n v="6"/>
    <n v="25"/>
    <n v="2636"/>
    <n v="3"/>
    <n v="465959382"/>
    <n v="36"/>
    <n v="82"/>
    <x v="50"/>
    <n v="77"/>
    <x v="24"/>
  </r>
  <r>
    <s v="Enemy - from the series Arcane League of Legends"/>
    <s v="Imagine Dragons, League of Legends, Arcane"/>
    <n v="3"/>
    <x v="13"/>
    <n v="10"/>
    <n v="27"/>
    <n v="824"/>
    <n v="0"/>
    <n v="1223481149"/>
    <n v="8"/>
    <n v="8"/>
    <x v="101"/>
    <n v="73"/>
    <x v="1"/>
  </r>
  <r>
    <s v="Dance Monkey"/>
    <s v="Tones and I"/>
    <n v="1"/>
    <x v="1"/>
    <n v="5"/>
    <n v="10"/>
    <n v="24529"/>
    <n v="0"/>
    <n v="2864791672"/>
    <n v="533"/>
    <n v="167"/>
    <x v="27"/>
    <n v="82"/>
    <x v="14"/>
  </r>
  <r>
    <s v="Lucid Dreams"/>
    <s v="Juice WRLD"/>
    <n v="1"/>
    <x v="6"/>
    <n v="6"/>
    <n v="15"/>
    <n v="14749"/>
    <n v="0"/>
    <n v="2288695111"/>
    <n v="188"/>
    <n v="34"/>
    <x v="61"/>
    <n v="44"/>
    <x v="9"/>
  </r>
  <r>
    <s v="Qu' Me½e"/>
    <s v="J Balvin, Maria Becerra"/>
    <n v="2"/>
    <x v="13"/>
    <n v="1"/>
    <n v="28"/>
    <n v="8087"/>
    <n v="0"/>
    <n v="720825549"/>
    <n v="92"/>
    <n v="34"/>
    <x v="50"/>
    <n v="89"/>
    <x v="10"/>
  </r>
  <r>
    <s v="All of Me"/>
    <s v="John Legend"/>
    <n v="1"/>
    <x v="3"/>
    <n v="8"/>
    <n v="1"/>
    <n v="27221"/>
    <n v="0"/>
    <n v="2086124197"/>
    <n v="308"/>
    <n v="118"/>
    <x v="14"/>
    <n v="42"/>
    <x v="75"/>
  </r>
  <r>
    <s v="Smells Like Teen Spirit - Remastered 2021"/>
    <s v="Nirvana"/>
    <n v="1"/>
    <x v="45"/>
    <n v="9"/>
    <n v="10"/>
    <n v="49991"/>
    <n v="9"/>
    <n v="1690192927"/>
    <n v="265"/>
    <n v="121"/>
    <x v="63"/>
    <n v="52"/>
    <x v="33"/>
  </r>
  <r>
    <s v="Arcade"/>
    <s v="Duncan Laurence"/>
    <n v="1"/>
    <x v="1"/>
    <n v="3"/>
    <n v="7"/>
    <n v="6646"/>
    <n v="0"/>
    <n v="991336132"/>
    <n v="107"/>
    <n v="47"/>
    <x v="114"/>
    <n v="45"/>
    <x v="63"/>
  </r>
  <r>
    <s v="Fair Trade (with Travis Scott)"/>
    <s v="Drake, Travis Scott"/>
    <n v="2"/>
    <x v="13"/>
    <n v="9"/>
    <n v="3"/>
    <n v="5403"/>
    <n v="6"/>
    <n v="593917618"/>
    <n v="118"/>
    <n v="116"/>
    <x v="26"/>
    <n v="67"/>
    <x v="40"/>
  </r>
  <r>
    <s v="Bar"/>
    <s v="Tini, L-Gante"/>
    <n v="2"/>
    <x v="13"/>
    <n v="11"/>
    <n v="11"/>
    <n v="755"/>
    <n v="4"/>
    <n v="200972675"/>
    <n v="22"/>
    <n v="3"/>
    <x v="46"/>
    <n v="52"/>
    <x v="50"/>
  </r>
  <r>
    <s v="The Rumbling (TV Size)"/>
    <s v="SiM"/>
    <n v="1"/>
    <x v="2"/>
    <n v="1"/>
    <n v="10"/>
    <n v="254"/>
    <n v="0"/>
    <n v="71014967"/>
    <n v="0"/>
    <n v="4"/>
    <x v="80"/>
    <n v="41"/>
    <x v="35"/>
  </r>
  <r>
    <s v="family ties (with Kendrick Lamar)"/>
    <s v="Kendrick Lamar, Baby Keem"/>
    <n v="2"/>
    <x v="13"/>
    <n v="8"/>
    <n v="27"/>
    <n v="6308"/>
    <n v="5"/>
    <n v="560222750"/>
    <n v="114"/>
    <n v="15"/>
    <x v="35"/>
    <n v="71"/>
    <x v="23"/>
  </r>
  <r>
    <s v="Mr. Brightside"/>
    <s v="The Killers"/>
    <n v="1"/>
    <x v="28"/>
    <n v="9"/>
    <n v="23"/>
    <n v="51979"/>
    <n v="15"/>
    <n v="1806617704"/>
    <n v="306"/>
    <n v="99"/>
    <x v="6"/>
    <n v="35"/>
    <x v="51"/>
  </r>
  <r>
    <s v="Blessed-Cursed"/>
    <s v="ENHYPEN"/>
    <n v="1"/>
    <x v="2"/>
    <n v="1"/>
    <n v="10"/>
    <n v="246"/>
    <n v="0"/>
    <n v="77337771"/>
    <n v="2"/>
    <n v="12"/>
    <x v="67"/>
    <n v="60"/>
    <x v="38"/>
  </r>
  <r>
    <s v="AM Remix"/>
    <s v="J Balvin, Nio Garcia, Bad Bunny"/>
    <n v="3"/>
    <x v="13"/>
    <n v="6"/>
    <n v="24"/>
    <n v="6556"/>
    <n v="0"/>
    <n v="528544703"/>
    <n v="93"/>
    <n v="5"/>
    <x v="54"/>
    <n v="74"/>
    <x v="16"/>
  </r>
  <r>
    <s v="Streets"/>
    <s v="Doja Cat"/>
    <n v="1"/>
    <x v="1"/>
    <n v="11"/>
    <n v="7"/>
    <n v="5728"/>
    <n v="0"/>
    <n v="865640097"/>
    <n v="85"/>
    <n v="87"/>
    <x v="32"/>
    <n v="75"/>
    <x v="64"/>
  </r>
  <r>
    <s v="Shallow"/>
    <s v="Lady Gaga, Bradley Cooper"/>
    <n v="2"/>
    <x v="5"/>
    <n v="9"/>
    <n v="27"/>
    <n v="16636"/>
    <n v="12"/>
    <n v="2159346687"/>
    <n v="368"/>
    <n v="155"/>
    <x v="30"/>
    <n v="57"/>
    <x v="49"/>
  </r>
  <r>
    <s v="Polaroid Love"/>
    <s v="ENHYPEN"/>
    <n v="1"/>
    <x v="2"/>
    <n v="1"/>
    <n v="10"/>
    <n v="461"/>
    <n v="0"/>
    <n v="211372494"/>
    <n v="10"/>
    <n v="56"/>
    <x v="2"/>
    <n v="74"/>
    <x v="18"/>
  </r>
  <r>
    <s v="Leave Before You Love Me (with Jonas Brothers)"/>
    <s v="Marshmello, Jonas Brothers"/>
    <n v="2"/>
    <x v="13"/>
    <n v="4"/>
    <n v="28"/>
    <n v="4893"/>
    <n v="4"/>
    <n v="651732901"/>
    <n v="143"/>
    <n v="24"/>
    <x v="14"/>
    <n v="72"/>
    <x v="3"/>
  </r>
  <r>
    <s v="Permission to Dance"/>
    <s v="BTS"/>
    <n v="1"/>
    <x v="13"/>
    <n v="7"/>
    <n v="9"/>
    <n v="1801"/>
    <n v="2"/>
    <n v="608334048"/>
    <n v="77"/>
    <n v="134"/>
    <x v="0"/>
    <n v="70"/>
    <x v="1"/>
  </r>
  <r>
    <s v="Friday (feat. Mufasa &amp; Hypeman) - Dopamine Re-Edit"/>
    <s v="Riton, Nightcrawlers, Mufasa &amp; Hypeman, Dopamine"/>
    <n v="4"/>
    <x v="13"/>
    <n v="1"/>
    <n v="15"/>
    <n v="12043"/>
    <n v="0"/>
    <n v="863756573"/>
    <n v="209"/>
    <n v="54"/>
    <x v="17"/>
    <n v="82"/>
    <x v="19"/>
  </r>
  <r>
    <s v="RAPSTAR"/>
    <s v="Polo G"/>
    <n v="1"/>
    <x v="13"/>
    <n v="4"/>
    <n v="9"/>
    <n v="4731"/>
    <n v="0"/>
    <n v="797402345"/>
    <n v="141"/>
    <n v="12"/>
    <x v="45"/>
    <n v="79"/>
    <x v="36"/>
  </r>
  <r>
    <s v="Till I Collapse"/>
    <s v="Eminem, Nate Dogg"/>
    <n v="2"/>
    <x v="19"/>
    <n v="5"/>
    <n v="26"/>
    <n v="22923"/>
    <n v="0"/>
    <n v="1695712020"/>
    <n v="78"/>
    <n v="46"/>
    <x v="39"/>
    <n v="55"/>
    <x v="20"/>
  </r>
  <r>
    <s v="Memories"/>
    <s v="Maroon 5"/>
    <n v="1"/>
    <x v="1"/>
    <n v="9"/>
    <n v="20"/>
    <n v="9974"/>
    <n v="2"/>
    <n v="1759567999"/>
    <n v="272"/>
    <n v="67"/>
    <x v="90"/>
    <n v="77"/>
    <x v="62"/>
  </r>
  <r>
    <s v="Se Le Ve"/>
    <s v="Arcangel, De La Ghetto, Justin Quiles, Lenny Tav'rez, Sech, Dalex, Dimelo Flow, Rich Music"/>
    <n v="8"/>
    <x v="13"/>
    <n v="8"/>
    <n v="12"/>
    <n v="1560"/>
    <n v="0"/>
    <n v="223319934"/>
    <n v="72"/>
    <n v="0"/>
    <x v="61"/>
    <n v="56"/>
    <x v="6"/>
  </r>
  <r>
    <s v="25k jacket (feat. Lil Baby)"/>
    <s v="Gunna, Lil Baby"/>
    <n v="2"/>
    <x v="2"/>
    <n v="1"/>
    <n v="7"/>
    <n v="620"/>
    <n v="0"/>
    <n v="54937991"/>
    <n v="17"/>
    <n v="3"/>
    <x v="71"/>
    <n v="90"/>
    <x v="36"/>
  </r>
  <r>
    <s v="When I'm Gone (with Katy "/>
    <s v="Katy Perry, Alesso"/>
    <n v="2"/>
    <x v="13"/>
    <n v="12"/>
    <n v="29"/>
    <n v="3270"/>
    <n v="0"/>
    <n v="226897599"/>
    <n v="89"/>
    <n v="21"/>
    <x v="0"/>
    <n v="69"/>
    <x v="38"/>
  </r>
  <r>
    <s v="Esque'a-Me Se For C"/>
    <s v="Mar'lia Mendon'a, Maiara &amp;"/>
    <n v="2"/>
    <x v="13"/>
    <n v="10"/>
    <n v="14"/>
    <n v="580"/>
    <n v="0"/>
    <n v="258316038"/>
    <n v="24"/>
    <n v="92"/>
    <x v="22"/>
    <n v="80"/>
    <x v="50"/>
  </r>
  <r>
    <s v="Mi'n"/>
    <s v="Tini, Maria Becerra"/>
    <n v="2"/>
    <x v="13"/>
    <n v="4"/>
    <n v="29"/>
    <n v="3406"/>
    <n v="16"/>
    <n v="596152090"/>
    <n v="61"/>
    <n v="23"/>
    <x v="1"/>
    <n v="85"/>
    <x v="36"/>
  </r>
  <r>
    <s v="S'"/>
    <s v="Anuel Aa, Myke Towers, Jhay Cortez"/>
    <n v="3"/>
    <x v="13"/>
    <n v="11"/>
    <n v="18"/>
    <n v="903"/>
    <n v="0"/>
    <n v="177129919"/>
    <n v="30"/>
    <n v="26"/>
    <x v="32"/>
    <n v="63"/>
    <x v="59"/>
  </r>
  <r>
    <s v="MAMIII"/>
    <s v="Karol G, Becky G"/>
    <n v="2"/>
    <x v="2"/>
    <n v="2"/>
    <n v="10"/>
    <n v="6809"/>
    <n v="28"/>
    <n v="716591492"/>
    <n v="151"/>
    <n v="102"/>
    <x v="46"/>
    <n v="84"/>
    <x v="34"/>
  </r>
  <r>
    <s v="Still D.R.E."/>
    <s v="Dr. Dre, Snoop Dogg"/>
    <n v="2"/>
    <x v="10"/>
    <n v="1"/>
    <n v="1"/>
    <n v="33966"/>
    <n v="0"/>
    <n v="1210599487"/>
    <n v="141"/>
    <n v="78"/>
    <x v="59"/>
    <n v="81"/>
    <x v="39"/>
  </r>
  <r>
    <s v="Stay Alive (Prod. SUGA of BTS)"/>
    <s v="Jung Kook"/>
    <n v="1"/>
    <x v="2"/>
    <n v="2"/>
    <n v="11"/>
    <n v="590"/>
    <n v="5"/>
    <n v="246376690"/>
    <n v="4"/>
    <n v="113"/>
    <x v="8"/>
    <n v="51"/>
    <x v="6"/>
  </r>
  <r>
    <s v="Boyfriend"/>
    <s v="Dove Cameron"/>
    <n v="1"/>
    <x v="2"/>
    <n v="2"/>
    <n v="11"/>
    <n v="3766"/>
    <n v="0"/>
    <n v="496311364"/>
    <n v="76"/>
    <n v="0"/>
    <x v="29"/>
    <n v="35"/>
    <x v="23"/>
  </r>
  <r>
    <s v="The Joker And The Queen (feat. Taylor Swift)"/>
    <s v="Ed Sheeran, Taylor Swift"/>
    <n v="2"/>
    <x v="2"/>
    <n v="2"/>
    <n v="11"/>
    <n v="1430"/>
    <n v="0"/>
    <n v="146789379"/>
    <n v="46"/>
    <n v="1"/>
    <x v="35"/>
    <n v="53"/>
    <x v="67"/>
  </r>
  <r>
    <s v="The Next Episode"/>
    <s v="Dr. Dre, Snoop Dogg"/>
    <n v="2"/>
    <x v="10"/>
    <n v="1"/>
    <n v="1"/>
    <n v="31762"/>
    <n v="0"/>
    <n v="843309044"/>
    <n v="142"/>
    <n v="40"/>
    <x v="31"/>
    <n v="92"/>
    <x v="38"/>
  </r>
  <r>
    <s v="Light Switch"/>
    <s v="Charlie Puth"/>
    <n v="1"/>
    <x v="2"/>
    <n v="1"/>
    <n v="19"/>
    <n v="4049"/>
    <n v="0"/>
    <n v="500340342"/>
    <n v="119"/>
    <n v="6"/>
    <x v="115"/>
    <n v="69"/>
    <x v="24"/>
  </r>
  <r>
    <s v="City of Gods"/>
    <s v="Kanye West, Alicia Keys, Fivio Foreign"/>
    <n v="3"/>
    <x v="2"/>
    <n v="2"/>
    <n v="11"/>
    <n v="2096"/>
    <n v="0"/>
    <n v="107255472"/>
    <n v="34"/>
    <n v="3"/>
    <x v="103"/>
    <n v="47"/>
    <x v="4"/>
  </r>
  <r>
    <s v="Brividi"/>
    <s v="Mahmood, Blanco"/>
    <n v="2"/>
    <x v="2"/>
    <n v="2"/>
    <n v="2"/>
    <n v="1175"/>
    <n v="0"/>
    <n v="135079152"/>
    <n v="34"/>
    <n v="1"/>
    <x v="17"/>
    <n v="52"/>
    <x v="44"/>
  </r>
  <r>
    <s v="Lost"/>
    <s v="Frank Ocean"/>
    <n v="1"/>
    <x v="9"/>
    <n v="1"/>
    <n v="1"/>
    <n v="29499"/>
    <n v="11"/>
    <n v="822239726"/>
    <n v="124"/>
    <n v="27"/>
    <x v="17"/>
    <n v="91"/>
    <x v="23"/>
  </r>
  <r>
    <s v="In Da Club"/>
    <s v="50 Cent"/>
    <n v="1"/>
    <x v="19"/>
    <n v="1"/>
    <n v="1"/>
    <n v="30427"/>
    <n v="7"/>
    <n v="1202722675"/>
    <n v="235"/>
    <n v="106"/>
    <x v="32"/>
    <n v="90"/>
    <x v="7"/>
  </r>
  <r>
    <s v="she's all i wanna be"/>
    <s v="Tate McRae"/>
    <n v="1"/>
    <x v="2"/>
    <n v="2"/>
    <n v="4"/>
    <n v="2711"/>
    <n v="0"/>
    <n v="343197054"/>
    <n v="105"/>
    <n v="12"/>
    <x v="74"/>
    <n v="61"/>
    <x v="30"/>
  </r>
  <r>
    <s v="Ginseng Strip 2002"/>
    <s v="Yung Lean"/>
    <n v="1"/>
    <x v="3"/>
    <n v="8"/>
    <n v="16"/>
    <n v="4310"/>
    <n v="0"/>
    <n v="240769997"/>
    <n v="13"/>
    <n v="0"/>
    <x v="71"/>
    <n v="60"/>
    <x v="7"/>
  </r>
  <r>
    <s v="All For Us - from the HBO Original Series Euphoria"/>
    <s v="Labrinth, Zendaya"/>
    <n v="2"/>
    <x v="1"/>
    <n v="8"/>
    <n v="4"/>
    <n v="5342"/>
    <n v="0"/>
    <n v="426204830"/>
    <n v="33"/>
    <n v="123"/>
    <x v="5"/>
    <n v="37"/>
    <x v="18"/>
  </r>
  <r>
    <s v="Notion"/>
    <s v="The Rare Occasions"/>
    <n v="1"/>
    <x v="8"/>
    <n v="8"/>
    <n v="5"/>
    <n v="2393"/>
    <n v="0"/>
    <n v="421135627"/>
    <n v="22"/>
    <n v="13"/>
    <x v="74"/>
    <n v="31"/>
    <x v="35"/>
  </r>
  <r>
    <s v="Formula"/>
    <s v="Labrinth"/>
    <n v="1"/>
    <x v="1"/>
    <n v="10"/>
    <n v="4"/>
    <n v="3444"/>
    <n v="7"/>
    <n v="554875730"/>
    <n v="24"/>
    <n v="85"/>
    <x v="80"/>
    <n v="57"/>
    <x v="16"/>
  </r>
  <r>
    <s v="Mount Everest"/>
    <s v="Labrinth"/>
    <n v="1"/>
    <x v="1"/>
    <n v="6"/>
    <n v="21"/>
    <n v="5443"/>
    <n v="0"/>
    <n v="467727006"/>
    <n v="45"/>
    <n v="1"/>
    <x v="13"/>
    <n v="46"/>
    <x v="12"/>
  </r>
  <r>
    <s v="Excuses"/>
    <s v="Intense, AP Dhillon, Gurinder Gill"/>
    <n v="3"/>
    <x v="7"/>
    <n v="7"/>
    <n v="24"/>
    <n v="272"/>
    <n v="4"/>
    <n v="327498031"/>
    <n v="7"/>
    <n v="21"/>
    <x v="31"/>
    <n v="84"/>
    <x v="3"/>
  </r>
  <r>
    <s v="Cigarettes"/>
    <s v="Juice WRLD"/>
    <n v="1"/>
    <x v="13"/>
    <n v="12"/>
    <n v="10"/>
    <n v="975"/>
    <n v="0"/>
    <n v="185408548"/>
    <n v="11"/>
    <n v="0"/>
    <x v="74"/>
    <n v="60"/>
    <x v="8"/>
  </r>
  <r>
    <s v="Cay' La Noche (feat. Cruz Cafun', Abhir Hathi, Bejo, EL IMA)"/>
    <s v="Quevedo, La Pantera, Juseph, Cruz Cafun', B'jo, Abhir Hathi"/>
    <n v="7"/>
    <x v="2"/>
    <n v="1"/>
    <n v="14"/>
    <n v="1034"/>
    <n v="1"/>
    <n v="245400167"/>
    <n v="19"/>
    <n v="5"/>
    <x v="12"/>
    <n v="67"/>
    <x v="59"/>
  </r>
  <r>
    <s v="California Love - Original Version (Explicit)"/>
    <s v="Dr. Dre, 2Pac, Roger"/>
    <n v="3"/>
    <x v="27"/>
    <n v="12"/>
    <n v="28"/>
    <n v="18773"/>
    <n v="0"/>
    <n v="579395142"/>
    <n v="128"/>
    <n v="17"/>
    <x v="1"/>
    <n v="77"/>
    <x v="21"/>
  </r>
  <r>
    <s v="Forgot About Dre"/>
    <s v="Eminem, Dr. Dre"/>
    <n v="2"/>
    <x v="10"/>
    <n v="1"/>
    <n v="1"/>
    <n v="19067"/>
    <n v="0"/>
    <n v="675039469"/>
    <n v="78"/>
    <n v="15"/>
    <x v="35"/>
    <n v="93"/>
    <x v="1"/>
  </r>
  <r>
    <s v="Down Under (feat. Colin Hay)"/>
    <s v="Luude, Colin Hay"/>
    <n v="2"/>
    <x v="13"/>
    <n v="11"/>
    <n v="19"/>
    <n v="3541"/>
    <n v="2"/>
    <n v="252871192"/>
    <n v="57"/>
    <n v="13"/>
    <x v="54"/>
    <n v="31"/>
    <x v="19"/>
  </r>
  <r>
    <s v="Mujeriego"/>
    <s v="Ryan Castro"/>
    <n v="1"/>
    <x v="13"/>
    <n v="12"/>
    <n v="17"/>
    <n v="1492"/>
    <n v="0"/>
    <n v="231996128"/>
    <n v="44"/>
    <n v="63"/>
    <x v="73"/>
    <n v="76"/>
    <x v="8"/>
  </r>
  <r>
    <s v="HUMBLE."/>
    <s v="Kendrick Lamar"/>
    <n v="1"/>
    <x v="6"/>
    <n v="3"/>
    <n v="30"/>
    <n v="33206"/>
    <n v="1"/>
    <n v="1929770265"/>
    <n v="284"/>
    <n v="114"/>
    <x v="10"/>
    <n v="91"/>
    <x v="44"/>
  </r>
  <r>
    <s v="Stan"/>
    <s v="Eminem, Dido"/>
    <n v="2"/>
    <x v="10"/>
    <n v="11"/>
    <n v="21"/>
    <n v="17115"/>
    <n v="0"/>
    <n v="918915401"/>
    <n v="83"/>
    <n v="63"/>
    <x v="73"/>
    <n v="78"/>
    <x v="1"/>
  </r>
  <r>
    <s v="Contection"/>
    <s v="GODZZ__-, Zakaria"/>
    <n v="2"/>
    <x v="7"/>
    <n v="1"/>
    <n v="16"/>
    <n v="6955"/>
    <n v="0"/>
    <n v="1180896317"/>
    <n v="65"/>
    <n v="45"/>
    <x v="82"/>
    <n v="81"/>
    <x v="59"/>
  </r>
  <r>
    <s v="Swim"/>
    <s v="Chase Atlantic"/>
    <n v="1"/>
    <x v="6"/>
    <n v="10"/>
    <n v="4"/>
    <n v="2742"/>
    <n v="0"/>
    <n v="498960285"/>
    <n v="5"/>
    <n v="1"/>
    <x v="14"/>
    <n v="67"/>
    <x v="36"/>
  </r>
  <r>
    <s v="A Tu Merced"/>
    <s v="Bad Bunny"/>
    <n v="1"/>
    <x v="7"/>
    <n v="2"/>
    <n v="29"/>
    <n v="4214"/>
    <n v="11"/>
    <n v="685071800"/>
    <n v="21"/>
    <n v="20"/>
    <x v="1"/>
    <n v="86"/>
    <x v="25"/>
  </r>
  <r>
    <s v="Numb Little Bug"/>
    <s v="Em Beihold"/>
    <n v="1"/>
    <x v="2"/>
    <n v="1"/>
    <n v="28"/>
    <n v="2026"/>
    <n v="0"/>
    <n v="258714692"/>
    <n v="47"/>
    <n v="3"/>
    <x v="81"/>
    <n v="74"/>
    <x v="32"/>
  </r>
  <r>
    <n v="212"/>
    <s v="Mainstreet, Chefin"/>
    <n v="2"/>
    <x v="2"/>
    <n v="1"/>
    <n v="15"/>
    <n v="352"/>
    <n v="0"/>
    <n v="143139338"/>
    <n v="10"/>
    <n v="0"/>
    <x v="77"/>
    <n v="79"/>
    <x v="32"/>
  </r>
  <r>
    <s v="Probleme½"/>
    <s v="Alvaro Diaz, Rauw Alejandro"/>
    <n v="2"/>
    <x v="13"/>
    <n v="10"/>
    <n v="22"/>
    <n v="1517"/>
    <n v="0"/>
    <n v="209768491"/>
    <n v="42"/>
    <n v="7"/>
    <x v="1"/>
    <n v="73"/>
    <x v="1"/>
  </r>
  <r>
    <s v="Bussin"/>
    <s v="Nicki Minaj, Lil Baby"/>
    <n v="2"/>
    <x v="2"/>
    <n v="2"/>
    <n v="11"/>
    <n v="847"/>
    <n v="0"/>
    <n v="64714573"/>
    <n v="25"/>
    <n v="0"/>
    <x v="16"/>
    <n v="89"/>
    <x v="34"/>
  </r>
  <r>
    <s v="Worst Day"/>
    <s v="Future"/>
    <n v="1"/>
    <x v="2"/>
    <n v="2"/>
    <n v="11"/>
    <n v="910"/>
    <n v="0"/>
    <n v="50746620"/>
    <n v="20"/>
    <n v="3"/>
    <x v="13"/>
    <n v="65"/>
    <x v="44"/>
  </r>
  <r>
    <s v="Malvada"/>
    <s v="Z' Fe"/>
    <n v="1"/>
    <x v="2"/>
    <n v="1"/>
    <n v="28"/>
    <n v="601"/>
    <n v="0"/>
    <n v="154119539"/>
    <n v="28"/>
    <n v="73"/>
    <x v="18"/>
    <n v="89"/>
    <x v="19"/>
  </r>
  <r>
    <s v="Hrs and Hrs"/>
    <s v="Muni Long"/>
    <n v="1"/>
    <x v="13"/>
    <n v="11"/>
    <n v="19"/>
    <n v="1800"/>
    <n v="0"/>
    <n v="181328253"/>
    <n v="43"/>
    <n v="36"/>
    <x v="16"/>
    <n v="51"/>
    <x v="2"/>
  </r>
  <r>
    <s v="Alien Blues"/>
    <s v="Vundabar"/>
    <n v="1"/>
    <x v="14"/>
    <n v="7"/>
    <n v="24"/>
    <n v="1930"/>
    <n v="0"/>
    <n v="370068639"/>
    <n v="3"/>
    <n v="0"/>
    <x v="44"/>
    <n v="47"/>
    <x v="6"/>
  </r>
  <r>
    <s v="Thinking Out Loud"/>
    <s v="Ed Sheeran"/>
    <n v="1"/>
    <x v="4"/>
    <n v="1"/>
    <n v="1"/>
    <n v="33032"/>
    <n v="0"/>
    <n v="2280566092"/>
    <n v="363"/>
    <n v="129"/>
    <x v="34"/>
    <n v="78"/>
    <x v="54"/>
  </r>
  <r>
    <s v="Still Don't Know My Name"/>
    <s v="Labrinth"/>
    <n v="1"/>
    <x v="1"/>
    <n v="10"/>
    <n v="4"/>
    <n v="6332"/>
    <n v="0"/>
    <n v="563902868"/>
    <n v="47"/>
    <n v="116"/>
    <x v="56"/>
    <n v="31"/>
    <x v="24"/>
  </r>
  <r>
    <s v="Christmas Tree"/>
    <s v="V"/>
    <n v="1"/>
    <x v="13"/>
    <n v="12"/>
    <n v="24"/>
    <n v="509"/>
    <n v="9"/>
    <n v="317622165"/>
    <n v="8"/>
    <n v="106"/>
    <x v="68"/>
    <n v="44"/>
    <x v="65"/>
  </r>
  <r>
    <s v="Mal Feito - Ao Vivo"/>
    <s v="Mar'lia Mendon'a, Hugo &amp; G"/>
    <n v="2"/>
    <x v="2"/>
    <n v="1"/>
    <n v="14"/>
    <n v="971"/>
    <n v="2"/>
    <n v="291709698"/>
    <n v="35"/>
    <n v="104"/>
    <x v="47"/>
    <n v="73"/>
    <x v="0"/>
  </r>
  <r>
    <s v="When I R.I.P."/>
    <s v="Labrinth"/>
    <n v="1"/>
    <x v="1"/>
    <n v="10"/>
    <n v="4"/>
    <n v="2578"/>
    <n v="0"/>
    <n v="203680270"/>
    <n v="8"/>
    <n v="67"/>
    <x v="73"/>
    <n v="39"/>
    <x v="47"/>
  </r>
  <r>
    <s v="Do We Have A Problem?"/>
    <s v="Nicki Minaj, Lil Baby"/>
    <n v="2"/>
    <x v="2"/>
    <n v="2"/>
    <n v="4"/>
    <n v="1064"/>
    <n v="0"/>
    <n v="81350745"/>
    <n v="42"/>
    <n v="1"/>
    <x v="14"/>
    <n v="84"/>
    <x v="61"/>
  </r>
  <r>
    <s v="Forever"/>
    <s v="Labrinth"/>
    <n v="1"/>
    <x v="1"/>
    <n v="10"/>
    <n v="4"/>
    <n v="3618"/>
    <n v="0"/>
    <n v="282883169"/>
    <n v="21"/>
    <n v="86"/>
    <x v="73"/>
    <n v="56"/>
    <x v="64"/>
  </r>
  <r>
    <s v="Gospel (with Eminem)"/>
    <s v="Eminem, Dr. Dre"/>
    <n v="2"/>
    <x v="2"/>
    <n v="2"/>
    <n v="4"/>
    <n v="1040"/>
    <n v="0"/>
    <n v="64787943"/>
    <n v="8"/>
    <n v="0"/>
    <x v="63"/>
    <n v="92"/>
    <x v="19"/>
  </r>
  <r>
    <s v="Se'o"/>
    <s v="Shawn Mendes, Camila Cabello"/>
    <n v="2"/>
    <x v="1"/>
    <n v="6"/>
    <n v="19"/>
    <n v="15010"/>
    <n v="2"/>
    <n v="2484812918"/>
    <n v="453"/>
    <n v="50"/>
    <x v="63"/>
    <n v="76"/>
    <x v="32"/>
  </r>
  <r>
    <s v="NEW MAGIC WAND"/>
    <s v="Tyler, The Creator"/>
    <n v="2"/>
    <x v="1"/>
    <n v="5"/>
    <n v="16"/>
    <n v="4708"/>
    <n v="0"/>
    <n v="461437791"/>
    <n v="13"/>
    <n v="7"/>
    <x v="16"/>
    <n v="62"/>
    <x v="13"/>
  </r>
  <r>
    <s v="Adore You"/>
    <s v="Harry Styles"/>
    <n v="1"/>
    <x v="1"/>
    <n v="12"/>
    <n v="6"/>
    <n v="13454"/>
    <n v="1"/>
    <n v="1439191367"/>
    <n v="246"/>
    <n v="71"/>
    <x v="20"/>
    <n v="68"/>
    <x v="53"/>
  </r>
  <r>
    <s v="La Santa"/>
    <s v="Daddy Yankee, Bad Bunny"/>
    <n v="2"/>
    <x v="7"/>
    <n v="2"/>
    <n v="29"/>
    <n v="4890"/>
    <n v="20"/>
    <n v="759208783"/>
    <n v="52"/>
    <n v="42"/>
    <x v="59"/>
    <n v="74"/>
    <x v="22"/>
  </r>
  <r>
    <s v="Something In The Way - Remastered 2021"/>
    <s v="Nirvana"/>
    <n v="1"/>
    <x v="45"/>
    <n v="9"/>
    <n v="24"/>
    <n v="9514"/>
    <n v="0"/>
    <n v="368646862"/>
    <n v="45"/>
    <n v="27"/>
    <x v="38"/>
    <n v="44"/>
    <x v="77"/>
  </r>
  <r>
    <s v="Sweetest Pie"/>
    <s v="Dua Lipa, Megan Thee Stallion"/>
    <n v="2"/>
    <x v="2"/>
    <n v="3"/>
    <n v="11"/>
    <n v="3501"/>
    <n v="0"/>
    <n v="299634472"/>
    <n v="69"/>
    <n v="2"/>
    <x v="47"/>
    <n v="81"/>
    <x v="24"/>
  </r>
  <r>
    <s v="Bam Bam (feat. Ed Sheeran)"/>
    <s v="Camila Cabello, Ed Sheeran"/>
    <n v="2"/>
    <x v="2"/>
    <n v="3"/>
    <n v="4"/>
    <n v="6111"/>
    <n v="4"/>
    <n v="756907987"/>
    <n v="185"/>
    <n v="40"/>
    <x v="31"/>
    <n v="76"/>
    <x v="34"/>
  </r>
  <r>
    <s v="Una Noche en Medelle½"/>
    <s v="Cris Mj"/>
    <n v="1"/>
    <x v="2"/>
    <n v="1"/>
    <n v="21"/>
    <n v="5415"/>
    <n v="32"/>
    <n v="682475162"/>
    <n v="46"/>
    <n v="16"/>
    <x v="30"/>
    <n v="87"/>
    <x v="2"/>
  </r>
  <r>
    <s v="Envolver"/>
    <s v="Anitta"/>
    <n v="1"/>
    <x v="13"/>
    <n v="11"/>
    <n v="11"/>
    <n v="4673"/>
    <n v="2"/>
    <n v="546191065"/>
    <n v="123"/>
    <n v="113"/>
    <x v="1"/>
    <n v="81"/>
    <x v="13"/>
  </r>
  <r>
    <s v="Starlight"/>
    <s v="Dave"/>
    <n v="1"/>
    <x v="2"/>
    <n v="3"/>
    <n v="3"/>
    <n v="1856"/>
    <n v="3"/>
    <n v="229473310"/>
    <n v="29"/>
    <n v="40"/>
    <x v="47"/>
    <n v="95"/>
    <x v="56"/>
  </r>
  <r>
    <s v="Hati-Hati di Jalan"/>
    <s v="Tulus"/>
    <n v="1"/>
    <x v="2"/>
    <n v="3"/>
    <n v="3"/>
    <n v="200"/>
    <n v="2"/>
    <n v="202677468"/>
    <n v="12"/>
    <n v="4"/>
    <x v="114"/>
    <n v="64"/>
    <x v="45"/>
  </r>
  <r>
    <s v="I'm Tired - From &quot;Euphoria&quot; An Original HBO Series"/>
    <s v="Labrinth"/>
    <n v="1"/>
    <x v="2"/>
    <n v="2"/>
    <n v="4"/>
    <n v="1888"/>
    <n v="0"/>
    <n v="121913181"/>
    <n v="26"/>
    <n v="1"/>
    <x v="116"/>
    <n v="28"/>
    <x v="77"/>
  </r>
  <r>
    <s v="DAN'A"/>
    <s v="Mc Pedrinho, Pedro Sampaio"/>
    <n v="2"/>
    <x v="2"/>
    <n v="2"/>
    <n v="1"/>
    <n v="911"/>
    <n v="2"/>
    <n v="208166039"/>
    <n v="45"/>
    <n v="0"/>
    <x v="18"/>
    <n v="78"/>
    <x v="41"/>
  </r>
  <r>
    <s v="Yo Voy (feat. Daddy Yankee)"/>
    <s v="Zion &amp; Lennox"/>
    <n v="1"/>
    <x v="16"/>
    <n v="5"/>
    <n v="4"/>
    <n v="2954"/>
    <n v="2"/>
    <n v="527033089"/>
    <n v="18"/>
    <n v="82"/>
    <x v="31"/>
    <n v="81"/>
    <x v="34"/>
  </r>
  <r>
    <s v="Residente: Bzrp Music Sessions, Vol. 49"/>
    <s v="Residente, Bizarrap"/>
    <n v="2"/>
    <x v="2"/>
    <n v="3"/>
    <n v="3"/>
    <n v="461"/>
    <n v="0"/>
    <n v="94616487"/>
    <n v="7"/>
    <n v="11"/>
    <x v="116"/>
    <n v="59"/>
    <x v="1"/>
  </r>
  <r>
    <s v="Jordan"/>
    <s v="Ryan Castro"/>
    <n v="1"/>
    <x v="13"/>
    <n v="4"/>
    <n v="30"/>
    <n v="2844"/>
    <n v="2"/>
    <n v="394030335"/>
    <n v="29"/>
    <n v="2"/>
    <x v="29"/>
    <n v="80"/>
    <x v="11"/>
  </r>
  <r>
    <s v="Nail Tech"/>
    <s v="Jack Harlow"/>
    <n v="1"/>
    <x v="2"/>
    <n v="2"/>
    <n v="18"/>
    <n v="2939"/>
    <n v="0"/>
    <n v="193443895"/>
    <n v="42"/>
    <n v="0"/>
    <x v="10"/>
    <n v="65"/>
    <x v="5"/>
  </r>
  <r>
    <s v="Chale"/>
    <s v="Eden Mue½ï"/>
    <n v="1"/>
    <x v="2"/>
    <n v="2"/>
    <n v="18"/>
    <n v="695"/>
    <n v="11"/>
    <n v="299648208"/>
    <n v="16"/>
    <n v="41"/>
    <x v="117"/>
    <n v="55"/>
    <x v="45"/>
  </r>
  <r>
    <s v="DARARI"/>
    <s v="Treasure"/>
    <n v="1"/>
    <x v="2"/>
    <n v="2"/>
    <n v="15"/>
    <n v="328"/>
    <n v="0"/>
    <n v="182978249"/>
    <n v="10"/>
    <n v="21"/>
    <x v="81"/>
    <n v="72"/>
    <x v="30"/>
  </r>
  <r>
    <s v="Ya No Somos Ni Seremos"/>
    <s v="Christian Nodal"/>
    <n v="1"/>
    <x v="2"/>
    <n v="2"/>
    <n v="18"/>
    <n v="866"/>
    <n v="16"/>
    <n v="319757142"/>
    <n v="27"/>
    <n v="84"/>
    <x v="16"/>
    <n v="59"/>
    <x v="54"/>
  </r>
  <r>
    <s v="Thinking with My Dick"/>
    <s v="Kevin Gates, Juicy J"/>
    <n v="2"/>
    <x v="3"/>
    <n v="7"/>
    <n v="16"/>
    <n v="1550"/>
    <n v="0"/>
    <n v="109091573"/>
    <n v="0"/>
    <n v="0"/>
    <x v="45"/>
    <n v="77"/>
    <x v="34"/>
  </r>
  <r>
    <s v="Freaky Deaky"/>
    <s v="Tyga, Doja Cat"/>
    <n v="2"/>
    <x v="2"/>
    <n v="2"/>
    <n v="25"/>
    <n v="1729"/>
    <n v="0"/>
    <n v="153240879"/>
    <n v="26"/>
    <n v="1"/>
    <x v="78"/>
    <n v="80"/>
    <x v="26"/>
  </r>
  <r>
    <s v="this is what falling in love feels like"/>
    <s v="JVKE"/>
    <n v="1"/>
    <x v="13"/>
    <n v="9"/>
    <n v="3"/>
    <n v="2005"/>
    <n v="0"/>
    <n v="346127840"/>
    <n v="16"/>
    <n v="5"/>
    <x v="53"/>
    <n v="42"/>
    <x v="45"/>
  </r>
  <r>
    <s v="La Zona"/>
    <s v="Bad Bunny"/>
    <n v="1"/>
    <x v="7"/>
    <n v="2"/>
    <n v="29"/>
    <n v="1188"/>
    <n v="0"/>
    <n v="312622938"/>
    <n v="13"/>
    <n v="1"/>
    <x v="46"/>
    <n v="76"/>
    <x v="4"/>
  </r>
  <r>
    <s v="Bohemian Rhapsody - Remastered 2011"/>
    <s v="Queen"/>
    <n v="1"/>
    <x v="12"/>
    <n v="10"/>
    <n v="31"/>
    <n v="40112"/>
    <n v="3"/>
    <n v="2197010679"/>
    <n v="321"/>
    <n v="162"/>
    <x v="116"/>
    <n v="41"/>
    <x v="49"/>
  </r>
  <r>
    <s v="Hope"/>
    <s v="XXXTENTACION"/>
    <n v="1"/>
    <x v="5"/>
    <n v="3"/>
    <n v="16"/>
    <n v="3659"/>
    <n v="0"/>
    <n v="1200808494"/>
    <n v="11"/>
    <n v="10"/>
    <x v="70"/>
    <n v="59"/>
    <x v="64"/>
  </r>
  <r>
    <s v="Levitating"/>
    <s v="Dua Lipa"/>
    <n v="1"/>
    <x v="7"/>
    <n v="3"/>
    <n v="27"/>
    <n v="9833"/>
    <n v="0"/>
    <n v="797196073"/>
    <n v="233"/>
    <n v="82"/>
    <x v="105"/>
    <n v="69"/>
    <x v="35"/>
  </r>
  <r>
    <s v="Wake Me Up - Radio Edit"/>
    <s v="Avicii"/>
    <n v="1"/>
    <x v="3"/>
    <n v="1"/>
    <n v="1"/>
    <n v="50887"/>
    <n v="34"/>
    <n v="1970673297"/>
    <n v="315"/>
    <n v="160"/>
    <x v="47"/>
    <n v="53"/>
    <x v="39"/>
  </r>
  <r>
    <s v="jealousy, jealousy"/>
    <s v="Olivia Rodrigo"/>
    <n v="1"/>
    <x v="13"/>
    <n v="5"/>
    <n v="21"/>
    <n v="3257"/>
    <n v="0"/>
    <n v="665765558"/>
    <n v="10"/>
    <n v="0"/>
    <x v="79"/>
    <n v="70"/>
    <x v="5"/>
  </r>
  <r>
    <s v="Mon'y so"/>
    <s v="YEAT"/>
    <n v="1"/>
    <x v="13"/>
    <n v="9"/>
    <n v="10"/>
    <n v="1473"/>
    <n v="0"/>
    <n v="263779030"/>
    <n v="2"/>
    <n v="0"/>
    <x v="2"/>
    <n v="69"/>
    <x v="41"/>
  </r>
  <r>
    <s v="Demasiadas Mujeres"/>
    <s v="C. Tangana"/>
    <n v="1"/>
    <x v="7"/>
    <n v="10"/>
    <n v="8"/>
    <n v="2226"/>
    <n v="0"/>
    <n v="339473453"/>
    <n v="36"/>
    <n v="2"/>
    <x v="25"/>
    <n v="67"/>
    <x v="64"/>
  </r>
  <r>
    <s v="Something Just Like This"/>
    <s v="The Chainsmokers, Coldplay"/>
    <n v="2"/>
    <x v="6"/>
    <n v="2"/>
    <n v="22"/>
    <n v="23375"/>
    <n v="21"/>
    <n v="2204080728"/>
    <n v="336"/>
    <n v="188"/>
    <x v="105"/>
    <n v="61"/>
    <x v="26"/>
  </r>
  <r>
    <s v="Closer"/>
    <s v="The Chainsmokers, Halsey"/>
    <n v="2"/>
    <x v="8"/>
    <n v="5"/>
    <n v="31"/>
    <n v="28032"/>
    <n v="0"/>
    <n v="2591224264"/>
    <n v="315"/>
    <n v="159"/>
    <x v="31"/>
    <n v="75"/>
    <x v="32"/>
  </r>
  <r>
    <s v="O.O"/>
    <s v="NMIXX"/>
    <n v="1"/>
    <x v="2"/>
    <n v="2"/>
    <n v="22"/>
    <n v="290"/>
    <n v="0"/>
    <n v="135444283"/>
    <n v="9"/>
    <n v="66"/>
    <x v="118"/>
    <n v="39"/>
    <x v="53"/>
  </r>
  <r>
    <s v="Somebody That I Used To Know"/>
    <s v="Gotye, Kimbra"/>
    <n v="2"/>
    <x v="15"/>
    <n v="1"/>
    <n v="1"/>
    <n v="42798"/>
    <n v="0"/>
    <n v="1457139296"/>
    <n v="217"/>
    <n v="136"/>
    <x v="53"/>
    <n v="86"/>
    <x v="32"/>
  </r>
  <r>
    <s v="Tom's Diner"/>
    <s v="AnnenMayKantereit, Giant Rooks"/>
    <n v="2"/>
    <x v="1"/>
    <n v="6"/>
    <n v="28"/>
    <n v="2605"/>
    <n v="0"/>
    <n v="236872197"/>
    <n v="15"/>
    <n v="48"/>
    <x v="27"/>
    <n v="68"/>
    <x v="12"/>
  </r>
  <r>
    <s v="First Class"/>
    <s v="Jack Harlow"/>
    <n v="1"/>
    <x v="2"/>
    <n v="4"/>
    <n v="8"/>
    <n v="8737"/>
    <n v="0"/>
    <n v="694525298"/>
    <n v="163"/>
    <n v="32"/>
    <x v="21"/>
    <n v="91"/>
    <x v="29"/>
  </r>
  <r>
    <s v="Plan A"/>
    <s v="Paulo Londra"/>
    <n v="1"/>
    <x v="2"/>
    <n v="3"/>
    <n v="23"/>
    <n v="1105"/>
    <n v="0"/>
    <n v="240661097"/>
    <n v="32"/>
    <n v="0"/>
    <x v="12"/>
    <n v="58"/>
    <x v="0"/>
  </r>
  <r>
    <s v="Fuera del mercado"/>
    <s v="Danny Ocean"/>
    <n v="1"/>
    <x v="2"/>
    <n v="2"/>
    <n v="17"/>
    <n v="2499"/>
    <n v="21"/>
    <n v="421365166"/>
    <n v="68"/>
    <n v="24"/>
    <x v="1"/>
    <n v="45"/>
    <x v="18"/>
  </r>
  <r>
    <s v="X 'LTIMA"/>
    <s v="Daddy Yankee, Bad Bunny"/>
    <n v="2"/>
    <x v="2"/>
    <n v="3"/>
    <n v="25"/>
    <n v="2697"/>
    <n v="1"/>
    <n v="349746291"/>
    <n v="55"/>
    <n v="3"/>
    <x v="32"/>
    <n v="81"/>
    <x v="0"/>
  </r>
  <r>
    <s v="When You're Gone"/>
    <s v="Shawn Mendes"/>
    <n v="1"/>
    <x v="2"/>
    <n v="3"/>
    <n v="31"/>
    <n v="2092"/>
    <n v="0"/>
    <n v="255120451"/>
    <n v="75"/>
    <n v="11"/>
    <x v="103"/>
    <n v="60"/>
    <x v="50"/>
  </r>
  <r>
    <s v="In My Head"/>
    <s v="Lil Tjay"/>
    <n v="1"/>
    <x v="2"/>
    <n v="4"/>
    <n v="1"/>
    <n v="1185"/>
    <n v="0"/>
    <n v="190981339"/>
    <n v="21"/>
    <n v="0"/>
    <x v="57"/>
    <n v="68"/>
    <x v="47"/>
  </r>
  <r>
    <s v="Wait a Minute!"/>
    <s v="Willow"/>
    <n v="1"/>
    <x v="14"/>
    <n v="1"/>
    <n v="11"/>
    <n v="11985"/>
    <n v="0"/>
    <n v="924193303"/>
    <n v="79"/>
    <n v="80"/>
    <x v="41"/>
    <n v="76"/>
    <x v="7"/>
  </r>
  <r>
    <s v="LOVE DIVE"/>
    <s v="IVE"/>
    <n v="1"/>
    <x v="2"/>
    <n v="4"/>
    <n v="5"/>
    <n v="753"/>
    <n v="8"/>
    <n v="305771063"/>
    <n v="28"/>
    <n v="124"/>
    <x v="11"/>
    <n v="70"/>
    <x v="7"/>
  </r>
  <r>
    <s v="Pantysito"/>
    <s v="Feid, Alejo, Robi"/>
    <n v="3"/>
    <x v="2"/>
    <n v="3"/>
    <n v="18"/>
    <n v="2995"/>
    <n v="0"/>
    <n v="273005485"/>
    <n v="49"/>
    <n v="17"/>
    <x v="27"/>
    <n v="83"/>
    <x v="1"/>
  </r>
  <r>
    <s v="Chance"/>
    <s v="Paulo Londra"/>
    <n v="1"/>
    <x v="2"/>
    <n v="4"/>
    <n v="6"/>
    <n v="225"/>
    <n v="0"/>
    <n v="89566512"/>
    <n v="11"/>
    <n v="0"/>
    <x v="2"/>
    <n v="72"/>
    <x v="64"/>
  </r>
  <r>
    <s v="Cool for the Summer"/>
    <s v="Demi Lovato"/>
    <n v="1"/>
    <x v="14"/>
    <n v="1"/>
    <n v="1"/>
    <n v="9243"/>
    <n v="0"/>
    <n v="677389855"/>
    <n v="155"/>
    <n v="5"/>
    <x v="64"/>
    <n v="59"/>
    <x v="8"/>
  </r>
  <r>
    <s v="psychofreak (feat. WILLOW)"/>
    <s v="Camila Cabello, Willow"/>
    <n v="2"/>
    <x v="2"/>
    <n v="4"/>
    <n v="7"/>
    <n v="918"/>
    <n v="0"/>
    <n v="75476209"/>
    <n v="24"/>
    <n v="0"/>
    <x v="29"/>
    <n v="63"/>
    <x v="30"/>
  </r>
  <r>
    <s v="Angel Baby"/>
    <s v="Troye Sivan"/>
    <n v="1"/>
    <x v="13"/>
    <n v="9"/>
    <n v="9"/>
    <n v="1959"/>
    <n v="9"/>
    <n v="408843328"/>
    <n v="52"/>
    <n v="25"/>
    <x v="80"/>
    <n v="56"/>
    <x v="41"/>
  </r>
  <r>
    <s v="Vampiro"/>
    <s v="Matu', Wiu, "/>
    <n v="3"/>
    <x v="2"/>
    <n v="1"/>
    <n v="30"/>
    <n v="540"/>
    <n v="4"/>
    <n v="187772591"/>
    <n v="26"/>
    <n v="3"/>
    <x v="71"/>
    <n v="78"/>
    <x v="30"/>
  </r>
  <r>
    <s v="Si Quieren Frontear"/>
    <s v="De La Ghetto, Duki, Quevedo"/>
    <n v="3"/>
    <x v="2"/>
    <n v="3"/>
    <n v="31"/>
    <n v="859"/>
    <n v="0"/>
    <n v="178512385"/>
    <n v="14"/>
    <n v="0"/>
    <x v="44"/>
    <n v="79"/>
    <x v="21"/>
  </r>
  <r>
    <s v="Right On"/>
    <s v="Lil Baby"/>
    <n v="1"/>
    <x v="2"/>
    <n v="4"/>
    <n v="8"/>
    <n v="1116"/>
    <n v="0"/>
    <n v="101780047"/>
    <n v="31"/>
    <n v="9"/>
    <x v="82"/>
    <n v="70"/>
    <x v="23"/>
  </r>
  <r>
    <s v="Me Arrepente"/>
    <s v="Ak4:20, Cris Mj, Pailita"/>
    <n v="3"/>
    <x v="2"/>
    <n v="3"/>
    <n v="30"/>
    <n v="273"/>
    <n v="2"/>
    <n v="118381354"/>
    <n v="12"/>
    <n v="2"/>
    <x v="1"/>
    <n v="86"/>
    <x v="25"/>
  </r>
  <r>
    <s v="That's Hilarious"/>
    <s v="Charlie Puth"/>
    <n v="1"/>
    <x v="2"/>
    <n v="4"/>
    <n v="8"/>
    <n v="686"/>
    <n v="2"/>
    <n v="146363130"/>
    <n v="11"/>
    <n v="6"/>
    <x v="65"/>
    <n v="71"/>
    <x v="45"/>
  </r>
  <r>
    <s v="Soy El Unico"/>
    <s v="Yahritza Y Su Esencia"/>
    <n v="1"/>
    <x v="2"/>
    <n v="3"/>
    <n v="25"/>
    <n v="226"/>
    <n v="0"/>
    <n v="126443991"/>
    <n v="5"/>
    <n v="0"/>
    <x v="61"/>
    <n v="71"/>
    <x v="54"/>
  </r>
  <r>
    <s v="RUMBATe½"/>
    <s v="Daddy Yankee"/>
    <n v="1"/>
    <x v="2"/>
    <n v="3"/>
    <n v="25"/>
    <n v="1264"/>
    <n v="0"/>
    <n v="157990698"/>
    <n v="20"/>
    <n v="4"/>
    <x v="31"/>
    <n v="69"/>
    <x v="33"/>
  </r>
  <r>
    <s v="sentaDONA (Remix) s2"/>
    <s v="Lu'sa Sonza, MC Frog, Dj Gabriel do Borel, Davi K"/>
    <n v="4"/>
    <x v="2"/>
    <n v="3"/>
    <n v="17"/>
    <n v="870"/>
    <n v="0"/>
    <n v="176290831"/>
    <n v="32"/>
    <n v="0"/>
    <x v="18"/>
    <n v="93"/>
    <x v="54"/>
  </r>
  <r>
    <s v="Falling"/>
    <s v="Harry Styles"/>
    <n v="1"/>
    <x v="1"/>
    <n v="12"/>
    <n v="13"/>
    <n v="7556"/>
    <n v="0"/>
    <n v="1023187129"/>
    <n v="124"/>
    <n v="24"/>
    <x v="24"/>
    <n v="57"/>
    <x v="57"/>
  </r>
  <r>
    <s v="Sigue"/>
    <s v="Ed Sheeran, J Balvin"/>
    <n v="2"/>
    <x v="46"/>
    <n v="11"/>
    <n v="24"/>
    <n v="1370"/>
    <n v="0"/>
    <n v="106933107"/>
    <n v="46"/>
    <n v="8"/>
    <x v="56"/>
    <n v="89"/>
    <x v="30"/>
  </r>
  <r>
    <s v="Fim de Semana no Rio"/>
    <s v="teto"/>
    <n v="1"/>
    <x v="2"/>
    <n v="3"/>
    <n v="30"/>
    <n v="315"/>
    <n v="2"/>
    <n v="139193812"/>
    <n v="27"/>
    <n v="2"/>
    <x v="72"/>
    <n v="87"/>
    <x v="27"/>
  </r>
  <r>
    <s v="MANIAC"/>
    <s v="Stray Kids"/>
    <n v="1"/>
    <x v="2"/>
    <n v="3"/>
    <n v="18"/>
    <n v="651"/>
    <n v="0"/>
    <n v="212234990"/>
    <n v="6"/>
    <n v="188"/>
    <x v="14"/>
    <n v="58"/>
    <x v="4"/>
  </r>
  <r>
    <s v="There's Nothing Holdin' Me Back"/>
    <s v="Shawn Mendes"/>
    <n v="1"/>
    <x v="8"/>
    <n v="9"/>
    <n v="23"/>
    <n v="12382"/>
    <n v="0"/>
    <n v="1714490998"/>
    <n v="229"/>
    <n v="57"/>
    <x v="22"/>
    <n v="86"/>
    <x v="4"/>
  </r>
  <r>
    <s v="IDGAF (with blackbear)"/>
    <s v="Blackbear, BoyWithUke"/>
    <n v="2"/>
    <x v="2"/>
    <n v="3"/>
    <n v="18"/>
    <n v="625"/>
    <n v="0"/>
    <n v="197643795"/>
    <n v="10"/>
    <n v="2"/>
    <x v="27"/>
    <n v="78"/>
    <x v="59"/>
  </r>
  <r>
    <s v="Golden"/>
    <s v="Harry Styles"/>
    <n v="1"/>
    <x v="1"/>
    <n v="12"/>
    <n v="13"/>
    <n v="8429"/>
    <n v="1"/>
    <n v="807015863"/>
    <n v="85"/>
    <n v="24"/>
    <x v="16"/>
    <n v="45"/>
    <x v="21"/>
  </r>
  <r>
    <s v="Get Lucky - Radio Edit"/>
    <s v="Pharrell Williams, Nile Rodgers, Daft Punk"/>
    <n v="3"/>
    <x v="3"/>
    <n v="1"/>
    <n v="1"/>
    <n v="52898"/>
    <n v="0"/>
    <n v="933815613"/>
    <n v="203"/>
    <n v="1"/>
    <x v="52"/>
    <n v="79"/>
    <x v="31"/>
  </r>
  <r>
    <s v="Ain't Shit"/>
    <s v="Doja Cat"/>
    <n v="1"/>
    <x v="13"/>
    <n v="6"/>
    <n v="25"/>
    <n v="3436"/>
    <n v="0"/>
    <n v="499710590"/>
    <n v="32"/>
    <n v="6"/>
    <x v="47"/>
    <n v="86"/>
    <x v="72"/>
  </r>
  <r>
    <s v="Nobody Like U - From &quot;Turning Red&quot;"/>
    <s v="Jordan Fisher, Josh Levi, Finneas O'Connell, 4*TOWN (From Disney and Pixar'e½s Turning Red), Topher Ngo, Grayson Vill"/>
    <n v="6"/>
    <x v="2"/>
    <n v="2"/>
    <n v="25"/>
    <n v="918"/>
    <n v="0"/>
    <n v="120847157"/>
    <n v="34"/>
    <n v="39"/>
    <x v="86"/>
    <n v="91"/>
    <x v="3"/>
  </r>
  <r>
    <s v="Still Life"/>
    <s v="BIGBANG"/>
    <n v="1"/>
    <x v="2"/>
    <n v="4"/>
    <n v="5"/>
    <n v="181"/>
    <n v="0"/>
    <n v="53909146"/>
    <n v="16"/>
    <n v="14"/>
    <x v="11"/>
    <n v="68"/>
    <x v="5"/>
  </r>
  <r>
    <s v="Photograph"/>
    <s v="Ed Sheeran"/>
    <n v="1"/>
    <x v="4"/>
    <n v="6"/>
    <n v="20"/>
    <n v="18778"/>
    <n v="3"/>
    <n v="2236667932"/>
    <n v="228"/>
    <n v="105"/>
    <x v="65"/>
    <n v="61"/>
    <x v="65"/>
  </r>
  <r>
    <s v="Love Yourself"/>
    <s v="Justin Bieber"/>
    <n v="1"/>
    <x v="14"/>
    <n v="11"/>
    <n v="9"/>
    <n v="22730"/>
    <n v="5"/>
    <n v="2123309722"/>
    <n v="289"/>
    <n v="87"/>
    <x v="7"/>
    <n v="61"/>
    <x v="65"/>
  </r>
  <r>
    <s v="N95"/>
    <s v="Kendrick Lamar"/>
    <n v="1"/>
    <x v="2"/>
    <n v="5"/>
    <n v="13"/>
    <n v="5542"/>
    <n v="0"/>
    <n v="301242089"/>
    <n v="52"/>
    <n v="16"/>
    <x v="16"/>
    <n v="81"/>
    <x v="16"/>
  </r>
  <r>
    <s v="About Damn Time"/>
    <s v="Lizzo"/>
    <n v="1"/>
    <x v="2"/>
    <n v="4"/>
    <n v="14"/>
    <n v="9021"/>
    <n v="0"/>
    <n v="723894473"/>
    <n v="242"/>
    <n v="49"/>
    <x v="83"/>
    <n v="84"/>
    <x v="1"/>
  </r>
  <r>
    <s v="Die Hard"/>
    <s v="Kendrick Lamar, Blxst, Amanda Reifer"/>
    <n v="3"/>
    <x v="2"/>
    <n v="5"/>
    <n v="13"/>
    <n v="4627"/>
    <n v="0"/>
    <n v="237351106"/>
    <n v="38"/>
    <n v="13"/>
    <x v="41"/>
    <n v="78"/>
    <x v="1"/>
  </r>
  <r>
    <s v="Despu's de la P"/>
    <s v="Bad Bunny"/>
    <n v="1"/>
    <x v="2"/>
    <n v="5"/>
    <n v="6"/>
    <n v="2229"/>
    <n v="0"/>
    <n v="461558540"/>
    <n v="27"/>
    <n v="44"/>
    <x v="15"/>
    <n v="56"/>
    <x v="48"/>
  </r>
  <r>
    <s v="Un Ratito"/>
    <s v="Bad Bunny"/>
    <n v="1"/>
    <x v="2"/>
    <n v="5"/>
    <n v="6"/>
    <n v="1112"/>
    <n v="6"/>
    <n v="417230415"/>
    <n v="7"/>
    <n v="30"/>
    <x v="59"/>
    <n v="79"/>
    <x v="47"/>
  </r>
  <r>
    <s v="United In Grief"/>
    <s v="Kendrick Lamar"/>
    <n v="1"/>
    <x v="2"/>
    <n v="5"/>
    <n v="13"/>
    <n v="2575"/>
    <n v="0"/>
    <n v="156898322"/>
    <n v="4"/>
    <n v="5"/>
    <x v="98"/>
    <n v="52"/>
    <x v="0"/>
  </r>
  <r>
    <s v="Father Time (feat. Sampha)"/>
    <s v="Kendrick Lamar, Sampha"/>
    <n v="2"/>
    <x v="2"/>
    <n v="5"/>
    <n v="13"/>
    <n v="3107"/>
    <n v="0"/>
    <n v="127309180"/>
    <n v="4"/>
    <n v="0"/>
    <x v="92"/>
    <n v="55"/>
    <x v="39"/>
  </r>
  <r>
    <s v="Yo No Soy Celoso"/>
    <s v="Bad Bunny"/>
    <n v="1"/>
    <x v="2"/>
    <n v="5"/>
    <n v="6"/>
    <n v="1179"/>
    <n v="0"/>
    <n v="313113297"/>
    <n v="7"/>
    <n v="21"/>
    <x v="51"/>
    <n v="87"/>
    <x v="14"/>
  </r>
  <r>
    <s v="Rich Spirit"/>
    <s v="Kendrick Lamar"/>
    <n v="1"/>
    <x v="2"/>
    <n v="5"/>
    <n v="13"/>
    <n v="3486"/>
    <n v="0"/>
    <n v="173702135"/>
    <n v="20"/>
    <n v="10"/>
    <x v="30"/>
    <n v="85"/>
    <x v="12"/>
  </r>
  <r>
    <s v="Cooped Up (with Roddy Ricch)"/>
    <s v="Post Malone, Roddy Ricch"/>
    <n v="2"/>
    <x v="2"/>
    <n v="5"/>
    <n v="12"/>
    <n v="2942"/>
    <n v="0"/>
    <n v="271666301"/>
    <n v="42"/>
    <n v="28"/>
    <x v="0"/>
    <n v="50"/>
    <x v="39"/>
  </r>
  <r>
    <s v="Me Fui de Vacaciones"/>
    <s v="Bad Bunny"/>
    <n v="1"/>
    <x v="2"/>
    <n v="5"/>
    <n v="6"/>
    <n v="1443"/>
    <n v="0"/>
    <n v="305650299"/>
    <n v="9"/>
    <n v="11"/>
    <x v="81"/>
    <n v="71"/>
    <x v="26"/>
  </r>
  <r>
    <s v="Silent Hill"/>
    <s v="Kendrick Lamar, Kodak Black"/>
    <n v="2"/>
    <x v="2"/>
    <n v="5"/>
    <n v="13"/>
    <n v="3028"/>
    <n v="0"/>
    <n v="123216717"/>
    <n v="22"/>
    <n v="0"/>
    <x v="16"/>
    <n v="92"/>
    <x v="41"/>
  </r>
  <r>
    <s v="La Corriente"/>
    <s v="Tony Dize, Bad Bunny"/>
    <n v="2"/>
    <x v="2"/>
    <n v="5"/>
    <n v="6"/>
    <n v="1796"/>
    <n v="8"/>
    <n v="479655659"/>
    <n v="8"/>
    <n v="25"/>
    <x v="119"/>
    <n v="66"/>
    <x v="25"/>
  </r>
  <r>
    <s v="Count Me Out"/>
    <s v="Kendrick Lamar"/>
    <n v="1"/>
    <x v="2"/>
    <n v="5"/>
    <n v="13"/>
    <n v="2729"/>
    <n v="0"/>
    <n v="126191104"/>
    <n v="3"/>
    <n v="7"/>
    <x v="35"/>
    <n v="78"/>
    <x v="12"/>
  </r>
  <r>
    <s v="Andrea"/>
    <s v="Buscabulla, Bad Bunny"/>
    <n v="2"/>
    <x v="2"/>
    <n v="5"/>
    <n v="6"/>
    <n v="1195"/>
    <n v="0"/>
    <n v="344055883"/>
    <n v="8"/>
    <n v="30"/>
    <x v="105"/>
    <n v="80"/>
    <x v="8"/>
  </r>
  <r>
    <s v="Dos Mil 16"/>
    <s v="Bad Bunny"/>
    <n v="1"/>
    <x v="2"/>
    <n v="5"/>
    <n v="6"/>
    <n v="892"/>
    <n v="3"/>
    <n v="338422004"/>
    <n v="10"/>
    <n v="24"/>
    <x v="8"/>
    <n v="82"/>
    <x v="18"/>
  </r>
  <r>
    <s v="We Cry Together"/>
    <s v="Kendrick Lamar, Taylour Paige"/>
    <n v="2"/>
    <x v="2"/>
    <n v="5"/>
    <n v="13"/>
    <n v="1635"/>
    <n v="0"/>
    <n v="68895644"/>
    <n v="4"/>
    <n v="1"/>
    <x v="65"/>
    <n v="65"/>
    <x v="50"/>
  </r>
  <r>
    <s v="Savior"/>
    <s v="Kendrick Lamar, Sam Dew, Baby Keem"/>
    <n v="3"/>
    <x v="2"/>
    <n v="5"/>
    <n v="13"/>
    <n v="2291"/>
    <n v="0"/>
    <n v="86176890"/>
    <n v="9"/>
    <n v="0"/>
    <x v="17"/>
    <n v="61"/>
    <x v="7"/>
  </r>
  <r>
    <s v="Un Coco"/>
    <s v="Bad Bunny"/>
    <n v="1"/>
    <x v="2"/>
    <n v="5"/>
    <n v="6"/>
    <n v="1029"/>
    <n v="28"/>
    <n v="403231558"/>
    <n v="5"/>
    <n v="28"/>
    <x v="107"/>
    <n v="84"/>
    <x v="50"/>
  </r>
  <r>
    <s v="Otro Atardecer"/>
    <s v="Bad Bunny, The Mare½ï"/>
    <n v="2"/>
    <x v="2"/>
    <n v="5"/>
    <n v="6"/>
    <n v="1681"/>
    <n v="7"/>
    <n v="319546754"/>
    <n v="10"/>
    <n v="30"/>
    <x v="65"/>
    <n v="78"/>
    <x v="44"/>
  </r>
  <r>
    <s v="Worldwide Steppers"/>
    <s v="Kendrick Lamar"/>
    <n v="1"/>
    <x v="2"/>
    <n v="5"/>
    <n v="13"/>
    <n v="1480"/>
    <n v="0"/>
    <n v="61739839"/>
    <n v="1"/>
    <n v="0"/>
    <x v="114"/>
    <n v="56"/>
    <x v="40"/>
  </r>
  <r>
    <s v="Aguacero"/>
    <s v="Bad Bunny"/>
    <n v="1"/>
    <x v="2"/>
    <n v="5"/>
    <n v="6"/>
    <n v="829"/>
    <n v="0"/>
    <n v="283359161"/>
    <n v="4"/>
    <n v="15"/>
    <x v="66"/>
    <n v="86"/>
    <x v="26"/>
  </r>
  <r>
    <s v="Purple Hearts"/>
    <s v="Kendrick Lamar, Ghostface Killah, Summer Walker"/>
    <n v="3"/>
    <x v="2"/>
    <n v="5"/>
    <n v="13"/>
    <n v="2308"/>
    <n v="0"/>
    <n v="76831876"/>
    <n v="7"/>
    <n v="0"/>
    <x v="2"/>
    <n v="57"/>
    <x v="10"/>
  </r>
  <r>
    <s v="Un Verano Sin Ti"/>
    <s v="Bad Bunny"/>
    <n v="1"/>
    <x v="2"/>
    <n v="5"/>
    <n v="6"/>
    <n v="1004"/>
    <n v="1"/>
    <n v="283332261"/>
    <n v="8"/>
    <n v="12"/>
    <x v="120"/>
    <n v="50"/>
    <x v="27"/>
  </r>
  <r>
    <s v="ULTRA SOLO"/>
    <s v="Polima WestCoast, Pailita"/>
    <n v="2"/>
    <x v="2"/>
    <n v="2"/>
    <n v="14"/>
    <n v="1367"/>
    <n v="0"/>
    <n v="307752576"/>
    <n v="48"/>
    <n v="4"/>
    <x v="24"/>
    <n v="80"/>
    <x v="20"/>
  </r>
  <r>
    <s v="Ens'e½ame "/>
    <s v="Bad Bunny"/>
    <n v="1"/>
    <x v="2"/>
    <n v="5"/>
    <n v="6"/>
    <n v="1112"/>
    <n v="3"/>
    <n v="279737940"/>
    <n v="7"/>
    <n v="25"/>
    <x v="86"/>
    <n v="81"/>
    <x v="25"/>
  </r>
  <r>
    <s v="El Apage½"/>
    <s v="Bad Bunny"/>
    <n v="1"/>
    <x v="2"/>
    <n v="5"/>
    <n v="6"/>
    <n v="1209"/>
    <n v="0"/>
    <n v="212351890"/>
    <n v="9"/>
    <n v="7"/>
    <x v="11"/>
    <n v="63"/>
    <x v="34"/>
  </r>
  <r>
    <s v="Callaita"/>
    <s v="Bad Bunny, Tainy"/>
    <n v="2"/>
    <x v="1"/>
    <n v="5"/>
    <n v="31"/>
    <n v="9539"/>
    <n v="15"/>
    <n v="1304313953"/>
    <n v="162"/>
    <n v="116"/>
    <x v="94"/>
    <n v="61"/>
    <x v="8"/>
  </r>
  <r>
    <s v="Dua Lipa"/>
    <s v="Jack Harlow"/>
    <n v="1"/>
    <x v="2"/>
    <n v="5"/>
    <n v="6"/>
    <n v="1992"/>
    <n v="0"/>
    <n v="150500965"/>
    <n v="35"/>
    <n v="0"/>
    <x v="62"/>
    <n v="83"/>
    <x v="26"/>
  </r>
  <r>
    <s v="Agosto"/>
    <s v="Bad Bunny"/>
    <n v="1"/>
    <x v="2"/>
    <n v="5"/>
    <n v="6"/>
    <n v="897"/>
    <n v="0"/>
    <n v="246127838"/>
    <n v="6"/>
    <n v="20"/>
    <x v="71"/>
    <n v="85"/>
    <x v="5"/>
  </r>
  <r>
    <s v="House Of Memories"/>
    <s v="Panic! At The Disco"/>
    <n v="1"/>
    <x v="8"/>
    <n v="1"/>
    <n v="15"/>
    <n v="2948"/>
    <n v="0"/>
    <n v="582863434"/>
    <n v="10"/>
    <n v="2"/>
    <x v="24"/>
    <n v="51"/>
    <x v="10"/>
  </r>
  <r>
    <s v="Mr. Morale"/>
    <s v="Kendrick Lamar, Tanna Leone"/>
    <n v="2"/>
    <x v="2"/>
    <n v="5"/>
    <n v="13"/>
    <n v="1860"/>
    <n v="0"/>
    <n v="58687425"/>
    <n v="1"/>
    <n v="0"/>
    <x v="12"/>
    <n v="73"/>
    <x v="36"/>
  </r>
  <r>
    <s v="That That (prod. &amp; feat. SUGA of BTS)"/>
    <s v="PSY, Suga"/>
    <n v="2"/>
    <x v="2"/>
    <n v="4"/>
    <n v="29"/>
    <n v="802"/>
    <n v="0"/>
    <n v="212109195"/>
    <n v="16"/>
    <n v="81"/>
    <x v="8"/>
    <n v="91"/>
    <x v="37"/>
  </r>
  <r>
    <s v="In The Stars"/>
    <s v="Benson Boone"/>
    <n v="1"/>
    <x v="2"/>
    <n v="4"/>
    <n v="29"/>
    <n v="2224"/>
    <n v="8"/>
    <n v="382199619"/>
    <n v="48"/>
    <n v="40"/>
    <x v="15"/>
    <n v="36"/>
    <x v="36"/>
  </r>
  <r>
    <s v="Rich - Interlude"/>
    <s v="Kendrick Lamar"/>
    <n v="1"/>
    <x v="2"/>
    <n v="5"/>
    <n v="13"/>
    <n v="1103"/>
    <n v="0"/>
    <n v="41210087"/>
    <n v="0"/>
    <n v="0"/>
    <x v="78"/>
    <n v="44"/>
    <x v="17"/>
  </r>
  <r>
    <s v="SUPERMODEL"/>
    <s v="M'ne"/>
    <n v="1"/>
    <x v="2"/>
    <n v="5"/>
    <n v="13"/>
    <n v="2265"/>
    <n v="0"/>
    <n v="231657891"/>
    <n v="93"/>
    <n v="12"/>
    <x v="66"/>
    <n v="64"/>
    <x v="35"/>
  </r>
  <r>
    <s v="Stefania (Kalush Orchestra)"/>
    <s v="KALUSH"/>
    <n v="1"/>
    <x v="2"/>
    <n v="3"/>
    <n v="10"/>
    <n v="555"/>
    <n v="0"/>
    <n v="53729194"/>
    <n v="10"/>
    <n v="4"/>
    <x v="86"/>
    <n v="83"/>
    <x v="10"/>
  </r>
  <r>
    <s v="Thousand Miles"/>
    <s v="The Kid Laroi"/>
    <n v="1"/>
    <x v="2"/>
    <n v="4"/>
    <n v="22"/>
    <n v="2050"/>
    <n v="0"/>
    <n v="244741137"/>
    <n v="52"/>
    <n v="9"/>
    <x v="45"/>
    <n v="38"/>
    <x v="16"/>
  </r>
  <r>
    <s v="Crown"/>
    <s v="Kendrick Lamar"/>
    <n v="1"/>
    <x v="2"/>
    <n v="5"/>
    <n v="13"/>
    <n v="1493"/>
    <n v="0"/>
    <n v="42485571"/>
    <n v="2"/>
    <n v="0"/>
    <x v="3"/>
    <n v="37"/>
    <x v="74"/>
  </r>
  <r>
    <s v="Auntie Diaries"/>
    <s v="Kendrick Lamar"/>
    <n v="1"/>
    <x v="2"/>
    <n v="5"/>
    <n v="13"/>
    <n v="1545"/>
    <n v="0"/>
    <n v="37778188"/>
    <n v="1"/>
    <n v="0"/>
    <x v="15"/>
    <n v="43"/>
    <x v="65"/>
  </r>
  <r>
    <s v="PUFFIN ON ZOOTIEZ"/>
    <s v="Future"/>
    <n v="1"/>
    <x v="2"/>
    <n v="4"/>
    <n v="29"/>
    <n v="2350"/>
    <n v="0"/>
    <n v="254218729"/>
    <n v="28"/>
    <n v="42"/>
    <x v="0"/>
    <n v="88"/>
    <x v="16"/>
  </r>
  <r>
    <s v="Mirror"/>
    <s v="Kendrick Lamar"/>
    <n v="1"/>
    <x v="2"/>
    <n v="5"/>
    <n v="13"/>
    <n v="1929"/>
    <n v="0"/>
    <n v="53603447"/>
    <n v="2"/>
    <n v="0"/>
    <x v="1"/>
    <n v="66"/>
    <x v="26"/>
  </r>
  <r>
    <s v="Beautiful Girl"/>
    <s v="Luciano"/>
    <n v="1"/>
    <x v="2"/>
    <n v="4"/>
    <n v="22"/>
    <n v="710"/>
    <n v="4"/>
    <n v="160035717"/>
    <n v="16"/>
    <n v="11"/>
    <x v="16"/>
    <n v="84"/>
    <x v="17"/>
  </r>
  <r>
    <s v="Paulo Londra: Bzrp Music Sessions, Vol. 23"/>
    <s v="Bizarrap, Paulo Londra"/>
    <n v="2"/>
    <x v="2"/>
    <n v="4"/>
    <n v="25"/>
    <n v="928"/>
    <n v="0"/>
    <n v="164163229"/>
    <n v="19"/>
    <n v="0"/>
    <x v="30"/>
    <n v="61"/>
    <x v="48"/>
  </r>
  <r>
    <s v="Savior - Interlude"/>
    <s v="Kendrick Lamar"/>
    <n v="1"/>
    <x v="2"/>
    <n v="5"/>
    <n v="13"/>
    <n v="1194"/>
    <n v="0"/>
    <n v="37091576"/>
    <n v="0"/>
    <n v="0"/>
    <x v="11"/>
    <n v="66"/>
    <x v="12"/>
  </r>
  <r>
    <s v="Pasoori"/>
    <s v="Shae Gill, Ali Sethi"/>
    <n v="2"/>
    <x v="2"/>
    <n v="2"/>
    <n v="6"/>
    <n v="349"/>
    <n v="6"/>
    <n v="284249832"/>
    <n v="10"/>
    <n v="22"/>
    <x v="1"/>
    <n v="71"/>
    <x v="44"/>
  </r>
  <r>
    <s v="Mother I Sober (feat. Beth Gibbons of Portishead)"/>
    <s v="Kendrick Lamar, Beth Gibbons"/>
    <n v="2"/>
    <x v="2"/>
    <n v="5"/>
    <n v="13"/>
    <n v="1890"/>
    <n v="0"/>
    <n v="33381454"/>
    <n v="3"/>
    <n v="0"/>
    <x v="16"/>
    <n v="49"/>
    <x v="56"/>
  </r>
  <r>
    <s v="TUS L'GR"/>
    <s v="Sech, Mora"/>
    <n v="2"/>
    <x v="2"/>
    <n v="4"/>
    <n v="1"/>
    <n v="1308"/>
    <n v="2"/>
    <n v="184622518"/>
    <n v="23"/>
    <n v="16"/>
    <x v="12"/>
    <n v="68"/>
    <x v="7"/>
  </r>
  <r>
    <s v="Where Did You Go?"/>
    <s v="MNEK, Jax Jones"/>
    <n v="2"/>
    <x v="2"/>
    <n v="1"/>
    <n v="26"/>
    <n v="4531"/>
    <n v="0"/>
    <n v="300983101"/>
    <n v="135"/>
    <n v="74"/>
    <x v="67"/>
    <n v="77"/>
    <x v="39"/>
  </r>
  <r>
    <s v="I Tried to Tell Y'all"/>
    <s v="Ugly Dray, Tesla Jnr"/>
    <n v="2"/>
    <x v="2"/>
    <n v="5"/>
    <n v="6"/>
    <n v="1657"/>
    <n v="0"/>
    <n v="121077868"/>
    <n v="15"/>
    <n v="3"/>
    <x v="30"/>
    <n v="71"/>
    <x v="32"/>
  </r>
  <r>
    <s v="Honest (feat. Don Toliver)"/>
    <s v="Justin Bieber, Don Toliver"/>
    <n v="2"/>
    <x v="2"/>
    <n v="4"/>
    <n v="29"/>
    <n v="1351"/>
    <n v="0"/>
    <n v="106919680"/>
    <n v="26"/>
    <n v="1"/>
    <x v="10"/>
    <n v="82"/>
    <x v="16"/>
  </r>
  <r>
    <s v="ZOOM"/>
    <s v="Jessi"/>
    <n v="1"/>
    <x v="2"/>
    <n v="4"/>
    <n v="13"/>
    <n v="608"/>
    <n v="0"/>
    <n v="136996305"/>
    <n v="5"/>
    <n v="29"/>
    <x v="7"/>
    <n v="87"/>
    <x v="44"/>
  </r>
  <r>
    <s v="SloMo"/>
    <s v="Chanel"/>
    <n v="1"/>
    <x v="13"/>
    <n v="12"/>
    <n v="24"/>
    <n v="1211"/>
    <n v="0"/>
    <n v="65719930"/>
    <n v="31"/>
    <n v="0"/>
    <x v="86"/>
    <n v="73"/>
    <x v="31"/>
  </r>
  <r>
    <s v="FEARLESS"/>
    <s v="LE SSERAFIM"/>
    <n v="1"/>
    <x v="2"/>
    <n v="5"/>
    <n v="2"/>
    <n v="629"/>
    <n v="0"/>
    <n v="229497852"/>
    <n v="18"/>
    <n v="75"/>
    <x v="78"/>
    <n v="86"/>
    <x v="8"/>
  </r>
  <r>
    <s v="10 Things I Hate About You"/>
    <s v="Leah Kate"/>
    <n v="1"/>
    <x v="2"/>
    <n v="3"/>
    <n v="23"/>
    <n v="1301"/>
    <n v="0"/>
    <n v="185550869"/>
    <n v="23"/>
    <n v="1"/>
    <x v="77"/>
    <n v="54"/>
    <x v="25"/>
  </r>
  <r>
    <s v="SPACE MAN"/>
    <s v="Sam Ryder"/>
    <n v="1"/>
    <x v="2"/>
    <n v="2"/>
    <n v="22"/>
    <n v="1329"/>
    <n v="0"/>
    <n v="54682594"/>
    <n v="42"/>
    <n v="51"/>
    <x v="73"/>
    <n v="47"/>
    <x v="0"/>
  </r>
  <r>
    <s v="With you"/>
    <s v="HA SUNG WOON, Jimin"/>
    <n v="2"/>
    <x v="2"/>
    <n v="4"/>
    <n v="24"/>
    <n v="343"/>
    <n v="2"/>
    <n v="240580042"/>
    <n v="4"/>
    <n v="35"/>
    <x v="10"/>
    <n v="53"/>
    <x v="12"/>
  </r>
  <r>
    <s v="Iris"/>
    <s v="The Goo Goo Dolls"/>
    <n v="1"/>
    <x v="47"/>
    <n v="3"/>
    <n v="31"/>
    <n v="13101"/>
    <n v="9"/>
    <n v="1284942608"/>
    <n v="137"/>
    <n v="5"/>
    <x v="121"/>
    <n v="32"/>
    <x v="3"/>
  </r>
  <r>
    <s v="The Heart Part 5"/>
    <s v="Kendrick Lamar"/>
    <n v="1"/>
    <x v="2"/>
    <n v="5"/>
    <n v="8"/>
    <n v="2939"/>
    <n v="0"/>
    <n v="71423324"/>
    <n v="29"/>
    <n v="0"/>
    <x v="27"/>
    <n v="76"/>
    <x v="31"/>
  </r>
  <r>
    <s v="San Lucas"/>
    <s v="Kevin Kaarl"/>
    <n v="1"/>
    <x v="1"/>
    <n v="11"/>
    <n v="7"/>
    <n v="407"/>
    <n v="1"/>
    <n v="244891912"/>
    <n v="5"/>
    <n v="0"/>
    <x v="1"/>
    <n v="58"/>
    <x v="69"/>
  </r>
  <r>
    <s v="This Love (Taylor's Ve"/>
    <s v="Taylor Swift"/>
    <n v="1"/>
    <x v="2"/>
    <n v="5"/>
    <n v="6"/>
    <n v="1492"/>
    <n v="0"/>
    <n v="132171975"/>
    <n v="26"/>
    <n v="2"/>
    <x v="4"/>
    <n v="47"/>
    <x v="27"/>
  </r>
  <r>
    <s v="Good Looking"/>
    <s v="Suki Waterhouse"/>
    <n v="1"/>
    <x v="6"/>
    <n v="10"/>
    <n v="20"/>
    <n v="2264"/>
    <n v="0"/>
    <n v="184706613"/>
    <n v="11"/>
    <n v="6"/>
    <x v="10"/>
    <n v="37"/>
    <x v="29"/>
  </r>
  <r>
    <s v="Flowers"/>
    <s v="Lauren Spencer Smith"/>
    <n v="1"/>
    <x v="13"/>
    <n v="8"/>
    <n v="9"/>
    <n v="801"/>
    <n v="0"/>
    <n v="184826429"/>
    <n v="42"/>
    <n v="9"/>
    <x v="2"/>
    <n v="70"/>
    <x v="45"/>
  </r>
  <r>
    <s v="Yet To Come"/>
    <s v="BTS"/>
    <n v="1"/>
    <x v="2"/>
    <n v="6"/>
    <n v="10"/>
    <n v="829"/>
    <n v="0"/>
    <n v="302006641"/>
    <n v="32"/>
    <n v="110"/>
    <x v="54"/>
    <n v="56"/>
    <x v="38"/>
  </r>
  <r>
    <s v="Run BTS"/>
    <s v="BTS"/>
    <n v="1"/>
    <x v="2"/>
    <n v="6"/>
    <n v="10"/>
    <n v="736"/>
    <n v="0"/>
    <n v="330881149"/>
    <n v="5"/>
    <n v="132"/>
    <x v="101"/>
    <n v="72"/>
    <x v="10"/>
  </r>
  <r>
    <s v="Music For a Sushi Restaurant"/>
    <s v="Harry Styles"/>
    <n v="1"/>
    <x v="2"/>
    <n v="5"/>
    <n v="20"/>
    <n v="4449"/>
    <n v="1"/>
    <n v="334733572"/>
    <n v="80"/>
    <n v="11"/>
    <x v="21"/>
    <n v="72"/>
    <x v="3"/>
  </r>
  <r>
    <s v="Matilda"/>
    <s v="Harry Styles"/>
    <n v="1"/>
    <x v="2"/>
    <n v="5"/>
    <n v="20"/>
    <n v="3218"/>
    <n v="3"/>
    <n v="366214458"/>
    <n v="29"/>
    <n v="10"/>
    <x v="64"/>
    <n v="51"/>
    <x v="78"/>
  </r>
  <r>
    <s v="For Youth"/>
    <s v="BTS"/>
    <n v="1"/>
    <x v="2"/>
    <n v="6"/>
    <n v="10"/>
    <n v="327"/>
    <n v="0"/>
    <n v="114546317"/>
    <n v="5"/>
    <n v="40"/>
    <x v="63"/>
    <n v="63"/>
    <x v="61"/>
  </r>
  <r>
    <s v="Daylight"/>
    <s v="Harry Styles"/>
    <n v="1"/>
    <x v="2"/>
    <n v="5"/>
    <n v="20"/>
    <n v="2775"/>
    <n v="0"/>
    <n v="290833204"/>
    <n v="21"/>
    <n v="11"/>
    <x v="70"/>
    <n v="69"/>
    <x v="54"/>
  </r>
  <r>
    <s v="Vegas (From the Original Motion Picture Soundtrack ELVIS)"/>
    <s v="Doja Cat"/>
    <n v="1"/>
    <x v="2"/>
    <n v="5"/>
    <n v="6"/>
    <n v="4576"/>
    <n v="0"/>
    <n v="448500832"/>
    <n v="79"/>
    <n v="13"/>
    <x v="74"/>
    <n v="80"/>
    <x v="44"/>
  </r>
  <r>
    <s v="Cash In Cash Out"/>
    <s v="Pharrell Williams, Tyler, The Creator, 21 Savage"/>
    <n v="4"/>
    <x v="2"/>
    <n v="6"/>
    <n v="10"/>
    <n v="2313"/>
    <n v="0"/>
    <n v="136676504"/>
    <n v="34"/>
    <n v="0"/>
    <x v="14"/>
    <n v="88"/>
    <x v="29"/>
  </r>
  <r>
    <s v="Potion (with Dua Lipa &amp; Young Thug)"/>
    <s v="Calvin Harris, Dua Lipa, Young Thug"/>
    <n v="3"/>
    <x v="2"/>
    <n v="5"/>
    <n v="27"/>
    <n v="3983"/>
    <n v="0"/>
    <n v="190625045"/>
    <n v="73"/>
    <n v="45"/>
    <x v="7"/>
    <n v="82"/>
    <x v="34"/>
  </r>
  <r>
    <s v="Born Singer"/>
    <s v="BTS"/>
    <n v="1"/>
    <x v="2"/>
    <n v="6"/>
    <n v="10"/>
    <n v="279"/>
    <n v="0"/>
    <n v="79095270"/>
    <n v="0"/>
    <n v="18"/>
    <x v="62"/>
    <n v="60"/>
    <x v="21"/>
  </r>
  <r>
    <s v="Little Freak"/>
    <s v="Harry Styles"/>
    <n v="1"/>
    <x v="2"/>
    <n v="5"/>
    <n v="20"/>
    <n v="2302"/>
    <n v="0"/>
    <n v="273194684"/>
    <n v="20"/>
    <n v="3"/>
    <x v="51"/>
    <n v="56"/>
    <x v="36"/>
  </r>
  <r>
    <s v="La Llevo Al Cielo (Ft. 'engo F"/>
    <s v="Nengo Flow, Anuel Aa, Chris Jedi, Chencho Corleone"/>
    <n v="4"/>
    <x v="2"/>
    <n v="5"/>
    <n v="20"/>
    <n v="3559"/>
    <n v="3"/>
    <n v="333146475"/>
    <n v="36"/>
    <n v="1"/>
    <x v="3"/>
    <n v="80"/>
    <x v="20"/>
  </r>
  <r>
    <s v="True Love"/>
    <s v="Kanye West, XXXTENTACION"/>
    <n v="2"/>
    <x v="2"/>
    <n v="5"/>
    <n v="27"/>
    <n v="2129"/>
    <n v="0"/>
    <n v="194902696"/>
    <n v="23"/>
    <n v="1"/>
    <x v="61"/>
    <n v="71"/>
    <x v="19"/>
  </r>
  <r>
    <s v="Satellite"/>
    <s v="Harry Styles"/>
    <n v="1"/>
    <x v="2"/>
    <n v="5"/>
    <n v="20"/>
    <n v="3291"/>
    <n v="5"/>
    <n v="311482393"/>
    <n v="43"/>
    <n v="28"/>
    <x v="68"/>
    <n v="58"/>
    <x v="64"/>
  </r>
  <r>
    <s v="Pass The Dutchie"/>
    <s v="Musical Youth"/>
    <n v="1"/>
    <x v="48"/>
    <n v="1"/>
    <n v="1"/>
    <n v="5328"/>
    <n v="0"/>
    <n v="195918494"/>
    <n v="54"/>
    <n v="76"/>
    <x v="106"/>
    <n v="73"/>
    <x v="18"/>
  </r>
  <r>
    <s v="Villano Antillano: Bzrp Music Sessions, Vol. 51"/>
    <s v="Bizarrap, Villano Antillano"/>
    <n v="2"/>
    <x v="2"/>
    <n v="6"/>
    <n v="8"/>
    <n v="1401"/>
    <n v="0"/>
    <n v="248511839"/>
    <n v="26"/>
    <n v="16"/>
    <x v="33"/>
    <n v="82"/>
    <x v="59"/>
  </r>
  <r>
    <s v="Love Of My Life"/>
    <s v="Harry Styles"/>
    <n v="1"/>
    <x v="2"/>
    <n v="5"/>
    <n v="20"/>
    <n v="1933"/>
    <n v="0"/>
    <n v="233671263"/>
    <n v="13"/>
    <n v="2"/>
    <x v="11"/>
    <n v="56"/>
    <x v="36"/>
  </r>
  <r>
    <s v="Grapejuice"/>
    <s v="Harry Styles"/>
    <n v="1"/>
    <x v="2"/>
    <n v="5"/>
    <n v="20"/>
    <n v="1986"/>
    <n v="0"/>
    <n v="199587884"/>
    <n v="7"/>
    <n v="1"/>
    <x v="122"/>
    <n v="65"/>
    <x v="3"/>
  </r>
  <r>
    <s v="So Good"/>
    <s v="Halsey"/>
    <n v="1"/>
    <x v="2"/>
    <n v="6"/>
    <n v="9"/>
    <n v="1057"/>
    <n v="0"/>
    <n v="91781263"/>
    <n v="51"/>
    <n v="14"/>
    <x v="9"/>
    <n v="63"/>
    <x v="8"/>
  </r>
  <r>
    <s v="Belly Dancer"/>
    <s v="BYOR, Imanbek"/>
    <n v="2"/>
    <x v="2"/>
    <n v="2"/>
    <n v="18"/>
    <n v="5115"/>
    <n v="13"/>
    <n v="383835984"/>
    <n v="109"/>
    <n v="38"/>
    <x v="22"/>
    <n v="85"/>
    <x v="4"/>
  </r>
  <r>
    <s v="Keep Driving"/>
    <s v="Harry Styles"/>
    <n v="1"/>
    <x v="2"/>
    <n v="5"/>
    <n v="20"/>
    <n v="2094"/>
    <n v="1"/>
    <n v="236060709"/>
    <n v="8"/>
    <n v="1"/>
    <x v="123"/>
    <n v="72"/>
    <x v="9"/>
  </r>
  <r>
    <s v="Cinema"/>
    <s v="Harry Styles"/>
    <n v="1"/>
    <x v="2"/>
    <n v="5"/>
    <n v="20"/>
    <n v="2171"/>
    <n v="0"/>
    <n v="189236868"/>
    <n v="18"/>
    <n v="1"/>
    <x v="38"/>
    <n v="83"/>
    <x v="30"/>
  </r>
  <r>
    <s v="Die Young (feat. 347aidan)"/>
    <s v="Sleepy hallow, 347aidan"/>
    <n v="2"/>
    <x v="2"/>
    <n v="5"/>
    <n v="25"/>
    <n v="896"/>
    <n v="0"/>
    <n v="160845341"/>
    <n v="19"/>
    <n v="0"/>
    <x v="101"/>
    <n v="81"/>
    <x v="5"/>
  </r>
  <r>
    <s v="Only Love Can Hurt Like This"/>
    <s v="Paloma Faith"/>
    <n v="1"/>
    <x v="4"/>
    <n v="1"/>
    <n v="1"/>
    <n v="5148"/>
    <n v="0"/>
    <n v="588955257"/>
    <n v="90"/>
    <n v="22"/>
    <x v="90"/>
    <n v="57"/>
    <x v="38"/>
  </r>
  <r>
    <s v="Hold My Hand"/>
    <s v="Lady Gaga"/>
    <n v="1"/>
    <x v="2"/>
    <n v="5"/>
    <n v="3"/>
    <n v="2528"/>
    <n v="0"/>
    <n v="238350348"/>
    <n v="63"/>
    <n v="8"/>
    <x v="6"/>
    <n v="51"/>
    <x v="24"/>
  </r>
  <r>
    <s v="Daydreaming"/>
    <s v="Harry Styles"/>
    <n v="1"/>
    <x v="2"/>
    <n v="5"/>
    <n v="20"/>
    <n v="1900"/>
    <n v="1"/>
    <n v="187703102"/>
    <n v="15"/>
    <n v="1"/>
    <x v="64"/>
    <n v="71"/>
    <x v="31"/>
  </r>
  <r>
    <s v="Numb"/>
    <s v="Marshmello, Khalid"/>
    <n v="2"/>
    <x v="2"/>
    <n v="6"/>
    <n v="10"/>
    <n v="3879"/>
    <n v="2"/>
    <n v="295307001"/>
    <n v="107"/>
    <n v="76"/>
    <x v="14"/>
    <n v="91"/>
    <x v="53"/>
  </r>
  <r>
    <s v="Nos Comemos (feat. Ozuna)"/>
    <s v="Ozuna, Tiago pzk"/>
    <n v="2"/>
    <x v="2"/>
    <n v="6"/>
    <n v="2"/>
    <n v="896"/>
    <n v="0"/>
    <n v="138334433"/>
    <n v="0"/>
    <n v="0"/>
    <x v="1"/>
    <n v="83"/>
    <x v="10"/>
  </r>
  <r>
    <s v="Me and Your Mama"/>
    <s v="Childish Gambino"/>
    <n v="1"/>
    <x v="8"/>
    <n v="11"/>
    <n v="10"/>
    <n v="8775"/>
    <n v="0"/>
    <n v="445590495"/>
    <n v="33"/>
    <n v="60"/>
    <x v="11"/>
    <n v="56"/>
    <x v="54"/>
  </r>
  <r>
    <s v="Crazy What Love Can Do"/>
    <s v="David Guetta, Ella Henderson, Becky Hill"/>
    <n v="3"/>
    <x v="2"/>
    <n v="3"/>
    <n v="18"/>
    <n v="5290"/>
    <n v="0"/>
    <n v="286739476"/>
    <n v="139"/>
    <n v="73"/>
    <x v="17"/>
    <n v="60"/>
    <x v="7"/>
  </r>
  <r>
    <s v="SLOW DANCING IN THE DARK"/>
    <s v="Joji"/>
    <n v="1"/>
    <x v="5"/>
    <n v="9"/>
    <n v="12"/>
    <n v="10211"/>
    <n v="0"/>
    <n v="1122364376"/>
    <n v="38"/>
    <n v="79"/>
    <x v="13"/>
    <n v="52"/>
    <x v="9"/>
  </r>
  <r>
    <s v="Antes de Perderte"/>
    <s v="Duki"/>
    <n v="1"/>
    <x v="2"/>
    <n v="6"/>
    <n v="2"/>
    <n v="584"/>
    <n v="8"/>
    <n v="157136970"/>
    <n v="12"/>
    <n v="1"/>
    <x v="24"/>
    <n v="81"/>
    <x v="51"/>
  </r>
  <r>
    <s v="Boyfriends"/>
    <s v="Harry Styles"/>
    <n v="1"/>
    <x v="2"/>
    <n v="5"/>
    <n v="20"/>
    <n v="1517"/>
    <n v="0"/>
    <n v="137070925"/>
    <n v="26"/>
    <n v="2"/>
    <x v="11"/>
    <n v="42"/>
    <x v="77"/>
  </r>
  <r>
    <n v="295"/>
    <s v="Sidhu Moose Wala"/>
    <n v="1"/>
    <x v="13"/>
    <n v="5"/>
    <n v="15"/>
    <n v="246"/>
    <n v="4"/>
    <n v="183273246"/>
    <n v="4"/>
    <n v="106"/>
    <x v="32"/>
    <n v="68"/>
    <x v="6"/>
  </r>
  <r>
    <s v="Tak Ingin Usai"/>
    <s v="Keisya Levronka"/>
    <n v="1"/>
    <x v="2"/>
    <n v="5"/>
    <n v="13"/>
    <n v="220"/>
    <n v="4"/>
    <n v="184807630"/>
    <n v="16"/>
    <n v="5"/>
    <x v="8"/>
    <n v="49"/>
    <x v="49"/>
  </r>
  <r>
    <s v="En El Radio Un Cochinero"/>
    <s v="Victor Cibrian"/>
    <n v="1"/>
    <x v="2"/>
    <n v="5"/>
    <n v="13"/>
    <n v="514"/>
    <n v="0"/>
    <n v="164856284"/>
    <n v="5"/>
    <n v="36"/>
    <x v="77"/>
    <n v="70"/>
    <x v="8"/>
  </r>
  <r>
    <s v="Master of Puppets (Remastered)"/>
    <s v="Metallica"/>
    <n v="1"/>
    <x v="43"/>
    <n v="3"/>
    <n v="3"/>
    <n v="6080"/>
    <n v="0"/>
    <n v="704171068"/>
    <n v="112"/>
    <n v="198"/>
    <x v="86"/>
    <n v="54"/>
    <x v="0"/>
  </r>
  <r>
    <s v="BREAK MY SOUL"/>
    <s v="Beyonce"/>
    <n v="1"/>
    <x v="2"/>
    <n v="6"/>
    <n v="21"/>
    <n v="9724"/>
    <n v="0"/>
    <n v="354614964"/>
    <n v="222"/>
    <n v="61"/>
    <x v="71"/>
    <n v="70"/>
    <x v="35"/>
  </r>
  <r>
    <s v="ULTRA SOLO REMIX"/>
    <s v="De La Ghetto, Feid, Polima WestCoast, Paloma Mami, Pailita"/>
    <n v="5"/>
    <x v="2"/>
    <n v="6"/>
    <n v="16"/>
    <n v="2341"/>
    <n v="0"/>
    <n v="279717388"/>
    <n v="37"/>
    <n v="2"/>
    <x v="24"/>
    <n v="91"/>
    <x v="10"/>
  </r>
  <r>
    <s v="Massive"/>
    <s v="Drake"/>
    <n v="1"/>
    <x v="2"/>
    <n v="6"/>
    <n v="17"/>
    <n v="5263"/>
    <n v="0"/>
    <n v="195628667"/>
    <n v="66"/>
    <n v="89"/>
    <x v="0"/>
    <n v="51"/>
    <x v="11"/>
  </r>
  <r>
    <s v="Betty (Get Money)"/>
    <s v="Yung Gravy"/>
    <n v="1"/>
    <x v="2"/>
    <n v="6"/>
    <n v="10"/>
    <n v="2402"/>
    <n v="0"/>
    <n v="221752937"/>
    <n v="45"/>
    <n v="2"/>
    <x v="50"/>
    <n v="73"/>
    <x v="59"/>
  </r>
  <r>
    <s v="Ojos Marrones"/>
    <s v="Lasso"/>
    <n v="1"/>
    <x v="2"/>
    <n v="2"/>
    <n v="6"/>
    <n v="795"/>
    <n v="11"/>
    <n v="263280370"/>
    <n v="26"/>
    <n v="18"/>
    <x v="14"/>
    <n v="81"/>
    <x v="26"/>
  </r>
  <r>
    <s v="POP!"/>
    <s v="Nayeon"/>
    <n v="1"/>
    <x v="2"/>
    <n v="6"/>
    <n v="24"/>
    <n v="571"/>
    <n v="0"/>
    <n v="213505179"/>
    <n v="19"/>
    <n v="21"/>
    <x v="28"/>
    <n v="80"/>
    <x v="19"/>
  </r>
  <r>
    <s v="Layla"/>
    <s v="Sch'rze, DJ R"/>
    <n v="2"/>
    <x v="2"/>
    <n v="3"/>
    <n v="24"/>
    <n v="832"/>
    <n v="3"/>
    <n v="130419412"/>
    <n v="18"/>
    <n v="124"/>
    <x v="16"/>
    <n v="44"/>
    <x v="55"/>
  </r>
  <r>
    <s v="MORE"/>
    <s v="j-hope"/>
    <n v="1"/>
    <x v="2"/>
    <n v="7"/>
    <n v="1"/>
    <n v="565"/>
    <n v="0"/>
    <n v="155795783"/>
    <n v="6"/>
    <n v="52"/>
    <x v="28"/>
    <n v="78"/>
    <x v="3"/>
  </r>
  <r>
    <s v="Sweet Child O' Mine"/>
    <s v="Guns N' Roses"/>
    <n v="1"/>
    <x v="49"/>
    <n v="1"/>
    <n v="1"/>
    <n v="41231"/>
    <n v="1"/>
    <n v="1553497987"/>
    <n v="228"/>
    <n v="151"/>
    <x v="0"/>
    <n v="45"/>
    <x v="48"/>
  </r>
  <r>
    <s v="Last Last"/>
    <s v="Burna Boy"/>
    <n v="1"/>
    <x v="2"/>
    <n v="5"/>
    <n v="12"/>
    <n v="4526"/>
    <n v="12"/>
    <n v="293466523"/>
    <n v="156"/>
    <n v="275"/>
    <x v="56"/>
    <n v="80"/>
    <x v="29"/>
  </r>
  <r>
    <s v="SNAP"/>
    <s v="Rosa Linn"/>
    <n v="1"/>
    <x v="2"/>
    <n v="3"/>
    <n v="19"/>
    <n v="1818"/>
    <n v="0"/>
    <n v="711366595"/>
    <n v="3"/>
    <n v="0"/>
    <x v="3"/>
    <n v="56"/>
    <x v="30"/>
  </r>
  <r>
    <s v="Sticky"/>
    <s v="Drake"/>
    <n v="1"/>
    <x v="2"/>
    <n v="6"/>
    <n v="17"/>
    <n v="2814"/>
    <n v="0"/>
    <n v="191448892"/>
    <n v="38"/>
    <n v="105"/>
    <x v="40"/>
    <n v="88"/>
    <x v="72"/>
  </r>
  <r>
    <s v="Hot Shit (feat. Ye &amp; Lil Durk)"/>
    <s v="Kanye West, Lil Durk, Cardi B"/>
    <n v="3"/>
    <x v="2"/>
    <n v="7"/>
    <n v="1"/>
    <n v="1601"/>
    <n v="0"/>
    <n v="85924992"/>
    <n v="11"/>
    <n v="0"/>
    <x v="84"/>
    <n v="88"/>
    <x v="50"/>
  </r>
  <r>
    <s v="Ai Preto"/>
    <s v="L7nnon, DJ Biel do Furduncinho, Bianca"/>
    <n v="3"/>
    <x v="2"/>
    <n v="6"/>
    <n v="3"/>
    <n v="894"/>
    <n v="4"/>
    <n v="176103902"/>
    <n v="28"/>
    <n v="0"/>
    <x v="8"/>
    <n v="95"/>
    <x v="41"/>
  </r>
  <r>
    <s v="La Loto"/>
    <s v="Anitta, Tini, Becky G"/>
    <n v="3"/>
    <x v="2"/>
    <n v="7"/>
    <n v="6"/>
    <n v="945"/>
    <n v="0"/>
    <n v="121189256"/>
    <n v="49"/>
    <n v="3"/>
    <x v="32"/>
    <n v="85"/>
    <x v="0"/>
  </r>
  <r>
    <s v="die first"/>
    <s v="Nessa Barrett"/>
    <n v="1"/>
    <x v="2"/>
    <n v="6"/>
    <n v="24"/>
    <n v="767"/>
    <n v="0"/>
    <n v="131746175"/>
    <n v="25"/>
    <n v="0"/>
    <x v="122"/>
    <n v="44"/>
    <x v="18"/>
  </r>
  <r>
    <s v="Afraid To Feel"/>
    <s v="LF System"/>
    <n v="1"/>
    <x v="2"/>
    <n v="5"/>
    <n v="2"/>
    <n v="5898"/>
    <n v="5"/>
    <n v="244790012"/>
    <n v="129"/>
    <n v="55"/>
    <x v="33"/>
    <n v="58"/>
    <x v="33"/>
  </r>
  <r>
    <s v="Baile no Morro"/>
    <s v="Mc Vitin Da Igrejinha, MC Tairon, DJ Win"/>
    <n v="3"/>
    <x v="2"/>
    <n v="6"/>
    <n v="10"/>
    <n v="685"/>
    <n v="2"/>
    <n v="129314708"/>
    <n v="17"/>
    <n v="0"/>
    <x v="8"/>
    <n v="71"/>
    <x v="49"/>
  </r>
  <r>
    <s v="c'mo dormi"/>
    <s v="Rels B"/>
    <n v="1"/>
    <x v="2"/>
    <n v="8"/>
    <n v="4"/>
    <n v="1452"/>
    <n v="35"/>
    <n v="331511413"/>
    <n v="16"/>
    <n v="15"/>
    <x v="25"/>
    <n v="63"/>
    <x v="12"/>
  </r>
  <r>
    <s v="Bad Decisions (with BTS &amp; Snoop Dogg)"/>
    <s v="Snoop Dogg, BTS, Benny Blanco"/>
    <n v="3"/>
    <x v="2"/>
    <n v="8"/>
    <n v="5"/>
    <n v="1456"/>
    <n v="0"/>
    <n v="219196651"/>
    <n v="53"/>
    <n v="2"/>
    <x v="14"/>
    <n v="77"/>
    <x v="22"/>
  </r>
  <r>
    <s v="STAYING ALIVE (feat. Drake &amp; Lil Baby)"/>
    <s v="Drake, DJ Khaled, Lil Baby"/>
    <n v="3"/>
    <x v="2"/>
    <n v="8"/>
    <n v="5"/>
    <n v="2107"/>
    <n v="0"/>
    <n v="170732845"/>
    <n v="51"/>
    <n v="1"/>
    <x v="8"/>
    <n v="72"/>
    <x v="64"/>
  </r>
  <r>
    <s v="Caile"/>
    <s v="Luar La L"/>
    <n v="1"/>
    <x v="7"/>
    <n v="12"/>
    <n v="18"/>
    <n v="1494"/>
    <n v="2"/>
    <n v="273914335"/>
    <n v="17"/>
    <n v="12"/>
    <x v="22"/>
    <n v="70"/>
    <x v="6"/>
  </r>
  <r>
    <s v="Si Te La Encuentras Por Ahe"/>
    <s v="Feid"/>
    <n v="1"/>
    <x v="2"/>
    <n v="8"/>
    <n v="5"/>
    <n v="1379"/>
    <n v="4"/>
    <n v="179061440"/>
    <n v="23"/>
    <n v="10"/>
    <x v="54"/>
    <n v="74"/>
    <x v="5"/>
  </r>
  <r>
    <s v="GIVENCHY"/>
    <s v="Duki"/>
    <n v="1"/>
    <x v="2"/>
    <n v="7"/>
    <n v="20"/>
    <n v="625"/>
    <n v="4"/>
    <n v="185236961"/>
    <n v="13"/>
    <n v="18"/>
    <x v="105"/>
    <n v="61"/>
    <x v="8"/>
  </r>
  <r>
    <s v="ALIEN SUPERSTAR"/>
    <s v="Beyonce"/>
    <n v="1"/>
    <x v="2"/>
    <n v="7"/>
    <n v="29"/>
    <n v="2688"/>
    <n v="0"/>
    <n v="171788484"/>
    <n v="39"/>
    <n v="47"/>
    <x v="22"/>
    <n v="55"/>
    <x v="30"/>
  </r>
  <r>
    <s v="Mary On A Cross"/>
    <s v="Ghost"/>
    <n v="1"/>
    <x v="1"/>
    <n v="9"/>
    <n v="13"/>
    <n v="2668"/>
    <n v="2"/>
    <n v="387080183"/>
    <n v="38"/>
    <n v="266"/>
    <x v="8"/>
    <n v="47"/>
    <x v="48"/>
  </r>
  <r>
    <s v="Attention"/>
    <s v="NewJeans"/>
    <n v="1"/>
    <x v="2"/>
    <n v="8"/>
    <n v="1"/>
    <n v="799"/>
    <n v="12"/>
    <n v="264717480"/>
    <n v="14"/>
    <n v="141"/>
    <x v="86"/>
    <n v="81"/>
    <x v="26"/>
  </r>
  <r>
    <s v="THE SHADE"/>
    <s v="Rex Orange County"/>
    <n v="1"/>
    <x v="2"/>
    <n v="3"/>
    <n v="11"/>
    <n v="1189"/>
    <n v="6"/>
    <n v="244928911"/>
    <n v="17"/>
    <n v="10"/>
    <x v="14"/>
    <n v="90"/>
    <x v="61"/>
  </r>
  <r>
    <s v="Come Back Home - From &quot;Purple Hearts&quot;"/>
    <s v="Sofia Carson"/>
    <n v="1"/>
    <x v="2"/>
    <n v="7"/>
    <n v="12"/>
    <n v="367"/>
    <n v="0"/>
    <n v="97610446"/>
    <n v="28"/>
    <n v="67"/>
    <x v="80"/>
    <n v="56"/>
    <x v="2"/>
  </r>
  <r>
    <s v="El Rescate"/>
    <s v="Grupo Marca Registrada, Junior H"/>
    <n v="2"/>
    <x v="2"/>
    <n v="7"/>
    <n v="22"/>
    <n v="527"/>
    <n v="4"/>
    <n v="287278853"/>
    <n v="10"/>
    <n v="43"/>
    <x v="20"/>
    <n v="79"/>
    <x v="14"/>
  </r>
  <r>
    <s v="Heartless"/>
    <s v="Kanye West"/>
    <n v="1"/>
    <x v="11"/>
    <n v="1"/>
    <n v="1"/>
    <n v="17504"/>
    <n v="34"/>
    <n v="887906111"/>
    <n v="63"/>
    <n v="39"/>
    <x v="56"/>
    <n v="79"/>
    <x v="26"/>
  </r>
  <r>
    <s v="Stay With Me (with Justin Timberlake, Halsey, &amp; Pharrell)"/>
    <s v="Calvin Harris, Halsey, Pharrell Williams, Justin Timberlake"/>
    <n v="4"/>
    <x v="2"/>
    <n v="7"/>
    <n v="15"/>
    <n v="3113"/>
    <n v="0"/>
    <n v="123473120"/>
    <n v="54"/>
    <n v="6"/>
    <x v="25"/>
    <n v="81"/>
    <x v="13"/>
  </r>
  <r>
    <s v="Siempre Pendientes"/>
    <s v="Peso Pluma, Luis R Conriquez"/>
    <n v="2"/>
    <x v="2"/>
    <n v="8"/>
    <n v="15"/>
    <n v="685"/>
    <n v="5"/>
    <n v="295152154"/>
    <n v="15"/>
    <n v="79"/>
    <x v="55"/>
    <n v="77"/>
    <x v="59"/>
  </r>
  <r>
    <s v="JGL"/>
    <s v="Luis R Conriquez, La Adictiva"/>
    <n v="2"/>
    <x v="2"/>
    <n v="2"/>
    <n v="18"/>
    <n v="782"/>
    <n v="9"/>
    <n v="323455692"/>
    <n v="15"/>
    <n v="33"/>
    <x v="100"/>
    <n v="70"/>
    <x v="14"/>
  </r>
  <r>
    <s v="Don't You Worry"/>
    <s v="David Guetta, Shakira, Black Eyed Peas"/>
    <n v="3"/>
    <x v="2"/>
    <n v="6"/>
    <n v="16"/>
    <n v="2442"/>
    <n v="0"/>
    <n v="240918092"/>
    <n v="81"/>
    <n v="4"/>
    <x v="48"/>
    <n v="82"/>
    <x v="35"/>
  </r>
  <r>
    <s v="Pipoco"/>
    <s v="Melody, Ana Castela, Dj Chris No Beat"/>
    <n v="3"/>
    <x v="2"/>
    <n v="5"/>
    <n v="20"/>
    <n v="1112"/>
    <n v="4"/>
    <n v="191873381"/>
    <n v="22"/>
    <n v="2"/>
    <x v="18"/>
    <n v="77"/>
    <x v="1"/>
  </r>
  <r>
    <s v="Hold Me Closer"/>
    <s v="Elton John, Britney Spears"/>
    <n v="2"/>
    <x v="6"/>
    <n v="11"/>
    <n v="10"/>
    <n v="4967"/>
    <n v="0"/>
    <n v="284216603"/>
    <n v="165"/>
    <n v="10"/>
    <x v="25"/>
    <n v="67"/>
    <x v="53"/>
  </r>
  <r>
    <s v="Forget Me"/>
    <s v="Lewis Capaldi"/>
    <n v="1"/>
    <x v="2"/>
    <n v="9"/>
    <n v="9"/>
    <n v="2520"/>
    <n v="4"/>
    <n v="239411309"/>
    <n v="93"/>
    <n v="95"/>
    <x v="50"/>
    <n v="67"/>
    <x v="1"/>
  </r>
  <r>
    <s v="After LIKE"/>
    <s v="IVE"/>
    <n v="1"/>
    <x v="2"/>
    <n v="8"/>
    <n v="22"/>
    <n v="767"/>
    <n v="12"/>
    <n v="265548837"/>
    <n v="20"/>
    <n v="129"/>
    <x v="0"/>
    <n v="68"/>
    <x v="55"/>
  </r>
  <r>
    <s v="Bound 2"/>
    <s v="Kanye West"/>
    <n v="1"/>
    <x v="3"/>
    <n v="1"/>
    <n v="1"/>
    <n v="19806"/>
    <n v="7"/>
    <n v="703301727"/>
    <n v="33"/>
    <n v="11"/>
    <x v="88"/>
    <n v="37"/>
    <x v="16"/>
  </r>
  <r>
    <s v="B.O.T.A. (Baddest Of Them All) - Edit"/>
    <s v="Interplanetary Criminal, Eliza Rose"/>
    <n v="2"/>
    <x v="2"/>
    <n v="6"/>
    <n v="15"/>
    <n v="5153"/>
    <n v="6"/>
    <n v="244585109"/>
    <n v="102"/>
    <n v="53"/>
    <x v="40"/>
    <n v="74"/>
    <x v="38"/>
  </r>
  <r>
    <s v="Talk that Talk"/>
    <s v="TWICE"/>
    <n v="1"/>
    <x v="2"/>
    <n v="8"/>
    <n v="26"/>
    <n v="615"/>
    <n v="0"/>
    <n v="189476119"/>
    <n v="14"/>
    <n v="77"/>
    <x v="14"/>
    <n v="77"/>
    <x v="33"/>
  </r>
  <r>
    <s v="BILLIE EILISH."/>
    <s v="Armani White"/>
    <n v="1"/>
    <x v="2"/>
    <n v="1"/>
    <n v="20"/>
    <n v="2537"/>
    <n v="0"/>
    <n v="277132266"/>
    <n v="49"/>
    <n v="1"/>
    <x v="7"/>
    <n v="90"/>
    <x v="27"/>
  </r>
  <r>
    <s v="Ferxxo 100"/>
    <s v="Feid"/>
    <n v="1"/>
    <x v="2"/>
    <n v="6"/>
    <n v="3"/>
    <n v="1647"/>
    <n v="30"/>
    <n v="278920007"/>
    <n v="20"/>
    <n v="49"/>
    <x v="79"/>
    <n v="70"/>
    <x v="41"/>
  </r>
  <r>
    <s v="KU LO SA - A COLORS SHOW"/>
    <s v="Oxlade"/>
    <n v="1"/>
    <x v="2"/>
    <n v="6"/>
    <n v="10"/>
    <n v="2019"/>
    <n v="8"/>
    <n v="222410722"/>
    <n v="117"/>
    <n v="72"/>
    <x v="59"/>
    <n v="65"/>
    <x v="16"/>
  </r>
  <r>
    <s v="Prohibidox"/>
    <s v="Feid"/>
    <n v="1"/>
    <x v="2"/>
    <n v="9"/>
    <n v="13"/>
    <n v="1473"/>
    <n v="12"/>
    <n v="185392587"/>
    <n v="25"/>
    <n v="36"/>
    <x v="29"/>
    <n v="65"/>
    <x v="4"/>
  </r>
  <r>
    <s v="Static"/>
    <s v="Steve Lacy"/>
    <n v="1"/>
    <x v="2"/>
    <n v="7"/>
    <n v="15"/>
    <n v="1613"/>
    <n v="0"/>
    <n v="202452860"/>
    <n v="21"/>
    <n v="15"/>
    <x v="34"/>
    <n v="34"/>
    <x v="67"/>
  </r>
  <r>
    <s v="The Scientist"/>
    <s v="Coldplay"/>
    <n v="1"/>
    <x v="19"/>
    <n v="8"/>
    <n v="5"/>
    <n v="30992"/>
    <n v="6"/>
    <n v="1608164312"/>
    <n v="124"/>
    <n v="25"/>
    <x v="70"/>
    <n v="56"/>
    <x v="45"/>
  </r>
  <r>
    <s v="Sparks"/>
    <s v="Coldplay"/>
    <n v="1"/>
    <x v="25"/>
    <n v="7"/>
    <n v="10"/>
    <n v="10826"/>
    <n v="4"/>
    <n v="624101957"/>
    <n v="24"/>
    <n v="0"/>
    <x v="105"/>
    <n v="37"/>
    <x v="57"/>
  </r>
  <r>
    <s v="Talk"/>
    <s v="YEAT"/>
    <n v="1"/>
    <x v="2"/>
    <n v="9"/>
    <n v="2"/>
    <n v="920"/>
    <n v="0"/>
    <n v="148461629"/>
    <n v="10"/>
    <n v="1"/>
    <x v="16"/>
    <n v="70"/>
    <x v="6"/>
  </r>
  <r>
    <s v="XQ Te Pones Ase"/>
    <s v="Yandel, Feid"/>
    <n v="2"/>
    <x v="2"/>
    <n v="9"/>
    <n v="13"/>
    <n v="308"/>
    <n v="0"/>
    <n v="47093942"/>
    <n v="6"/>
    <n v="1"/>
    <x v="1"/>
    <n v="81"/>
    <x v="34"/>
  </r>
  <r>
    <s v="Selfish"/>
    <s v="PnB Rock"/>
    <n v="1"/>
    <x v="8"/>
    <n v="6"/>
    <n v="23"/>
    <n v="2468"/>
    <n v="0"/>
    <n v="380319238"/>
    <n v="15"/>
    <n v="0"/>
    <x v="50"/>
    <n v="64"/>
    <x v="44"/>
  </r>
  <r>
    <s v="Sin See½ï"/>
    <s v="Ovy On The Drums, Quevedo"/>
    <n v="2"/>
    <x v="2"/>
    <n v="7"/>
    <n v="22"/>
    <n v="1097"/>
    <n v="2"/>
    <n v="209106362"/>
    <n v="18"/>
    <n v="10"/>
    <x v="11"/>
    <n v="82"/>
    <x v="20"/>
  </r>
  <r>
    <s v="Lady Mi Amor"/>
    <s v="Feid"/>
    <n v="1"/>
    <x v="2"/>
    <n v="9"/>
    <n v="13"/>
    <n v="330"/>
    <n v="0"/>
    <n v="53987404"/>
    <n v="3"/>
    <n v="0"/>
    <x v="59"/>
    <n v="78"/>
    <x v="8"/>
  </r>
  <r>
    <s v="Poland"/>
    <s v="Lil Yachty"/>
    <n v="1"/>
    <x v="2"/>
    <n v="6"/>
    <n v="23"/>
    <n v="1584"/>
    <n v="0"/>
    <n v="115331792"/>
    <n v="38"/>
    <n v="0"/>
    <x v="10"/>
    <n v="70"/>
    <x v="29"/>
  </r>
  <r>
    <s v="THE LONELIEST"/>
    <s v="M'ne"/>
    <n v="1"/>
    <x v="2"/>
    <n v="10"/>
    <n v="7"/>
    <n v="1585"/>
    <n v="5"/>
    <n v="225093344"/>
    <n v="78"/>
    <n v="65"/>
    <x v="8"/>
    <n v="52"/>
    <x v="44"/>
  </r>
  <r>
    <s v="Bye Bye"/>
    <s v="Marshmello, Juice WRLD"/>
    <n v="2"/>
    <x v="2"/>
    <n v="10"/>
    <n v="14"/>
    <n v="766"/>
    <n v="0"/>
    <n v="84697729"/>
    <n v="16"/>
    <n v="0"/>
    <x v="9"/>
    <n v="65"/>
    <x v="2"/>
  </r>
  <r>
    <s v="BABY OTAKU"/>
    <s v="Fran C, Polima WestCoast, Nickoog Clk, Pablito Pesadilla"/>
    <n v="4"/>
    <x v="2"/>
    <n v="8"/>
    <n v="18"/>
    <n v="836"/>
    <n v="0"/>
    <n v="159240673"/>
    <n v="14"/>
    <n v="1"/>
    <x v="50"/>
    <n v="84"/>
    <x v="59"/>
  </r>
  <r>
    <s v="Nxde"/>
    <s v="(G)I-DLE"/>
    <n v="1"/>
    <x v="2"/>
    <n v="10"/>
    <n v="17"/>
    <n v="430"/>
    <n v="6"/>
    <n v="170709584"/>
    <n v="14"/>
    <n v="116"/>
    <x v="55"/>
    <n v="73"/>
    <x v="33"/>
  </r>
  <r>
    <s v="Miss You"/>
    <s v="Southstar"/>
    <n v="1"/>
    <x v="48"/>
    <n v="5"/>
    <n v="16"/>
    <n v="2020"/>
    <n v="0"/>
    <n v="154356956"/>
    <n v="77"/>
    <n v="10"/>
    <x v="80"/>
    <n v="66"/>
    <x v="5"/>
  </r>
  <r>
    <s v="we fell in love in october"/>
    <s v="girl in red"/>
    <n v="1"/>
    <x v="5"/>
    <n v="11"/>
    <n v="21"/>
    <n v="6858"/>
    <n v="0"/>
    <n v="723043854"/>
    <n v="31"/>
    <n v="21"/>
    <x v="8"/>
    <n v="57"/>
    <x v="56"/>
  </r>
  <r>
    <s v="2 Be Loved (Am I Ready)"/>
    <s v="Lizzo"/>
    <n v="1"/>
    <x v="2"/>
    <n v="7"/>
    <n v="14"/>
    <n v="3682"/>
    <n v="6"/>
    <n v="247689123"/>
    <n v="41"/>
    <n v="0"/>
    <x v="121"/>
    <n v="72"/>
    <x v="53"/>
  </r>
  <r>
    <s v="Celestial"/>
    <s v="Ed Sheeran"/>
    <n v="1"/>
    <x v="2"/>
    <n v="9"/>
    <n v="29"/>
    <n v="1639"/>
    <n v="0"/>
    <n v="176474912"/>
    <n v="86"/>
    <n v="14"/>
    <x v="17"/>
    <n v="57"/>
    <x v="20"/>
  </r>
  <r>
    <s v="Typa Girl"/>
    <s v="BLACKPINK"/>
    <n v="1"/>
    <x v="2"/>
    <n v="9"/>
    <n v="16"/>
    <n v="452"/>
    <n v="10"/>
    <n v="235549288"/>
    <n v="2"/>
    <n v="129"/>
    <x v="48"/>
    <n v="92"/>
    <x v="8"/>
  </r>
  <r>
    <s v="I Really Want to Stay at Your House"/>
    <s v="Rosa Walton, Hallie Coggins"/>
    <n v="2"/>
    <x v="7"/>
    <n v="12"/>
    <n v="18"/>
    <n v="668"/>
    <n v="1"/>
    <n v="140430339"/>
    <n v="0"/>
    <n v="0"/>
    <x v="0"/>
    <n v="49"/>
    <x v="1"/>
  </r>
  <r>
    <s v="California Breeze"/>
    <s v="Lil Baby"/>
    <n v="1"/>
    <x v="2"/>
    <n v="10"/>
    <n v="14"/>
    <n v="991"/>
    <n v="0"/>
    <n v="85559365"/>
    <n v="36"/>
    <n v="38"/>
    <x v="69"/>
    <n v="74"/>
    <x v="18"/>
  </r>
  <r>
    <s v="Bamba (feat. Aitch &amp; BIA)"/>
    <s v="Luciano, Aitch, Be½"/>
    <n v="3"/>
    <x v="2"/>
    <n v="9"/>
    <n v="22"/>
    <n v="869"/>
    <n v="7"/>
    <n v="146223492"/>
    <n v="14"/>
    <n v="12"/>
    <x v="2"/>
    <n v="80"/>
    <x v="31"/>
  </r>
  <r>
    <s v="Casei Com a Putaria"/>
    <s v="MC Ryan SP, Love Funk, Mc Paiva ZS"/>
    <n v="3"/>
    <x v="2"/>
    <n v="7"/>
    <n v="1"/>
    <n v="648"/>
    <n v="4"/>
    <n v="187701588"/>
    <n v="0"/>
    <n v="0"/>
    <x v="113"/>
    <n v="59"/>
    <x v="44"/>
  </r>
  <r>
    <s v="Major Distribution"/>
    <s v="Drake, 21 Savage"/>
    <n v="2"/>
    <x v="2"/>
    <n v="11"/>
    <n v="4"/>
    <n v="1545"/>
    <n v="0"/>
    <n v="154863153"/>
    <n v="22"/>
    <n v="7"/>
    <x v="49"/>
    <n v="91"/>
    <x v="47"/>
  </r>
  <r>
    <s v="Pussy &amp; Millions (feat. Travis Scott)"/>
    <s v="Drake, Travis Scott, 21 Savage"/>
    <n v="3"/>
    <x v="2"/>
    <n v="11"/>
    <n v="4"/>
    <n v="1930"/>
    <n v="0"/>
    <n v="191333656"/>
    <n v="24"/>
    <n v="8"/>
    <x v="22"/>
    <n v="75"/>
    <x v="24"/>
  </r>
  <r>
    <s v="Vigilante Shit"/>
    <s v="Taylor Swift"/>
    <n v="1"/>
    <x v="2"/>
    <n v="10"/>
    <n v="21"/>
    <n v="1948"/>
    <n v="0"/>
    <n v="253650850"/>
    <n v="12"/>
    <n v="9"/>
    <x v="73"/>
    <n v="80"/>
    <x v="68"/>
  </r>
  <r>
    <s v="Question...?"/>
    <s v="Taylor Swift"/>
    <n v="1"/>
    <x v="2"/>
    <n v="10"/>
    <n v="21"/>
    <n v="1608"/>
    <n v="0"/>
    <n v="223064273"/>
    <n v="10"/>
    <n v="3"/>
    <x v="83"/>
    <n v="75"/>
    <x v="27"/>
  </r>
  <r>
    <s v="On BS"/>
    <s v="Drake, 21 Savage"/>
    <n v="2"/>
    <x v="2"/>
    <n v="11"/>
    <n v="4"/>
    <n v="1338"/>
    <n v="0"/>
    <n v="170413877"/>
    <n v="9"/>
    <n v="20"/>
    <x v="62"/>
    <n v="84"/>
    <x v="69"/>
  </r>
  <r>
    <s v="Mastermind"/>
    <s v="Taylor Swift"/>
    <n v="1"/>
    <x v="2"/>
    <n v="10"/>
    <n v="21"/>
    <n v="1936"/>
    <n v="0"/>
    <n v="218320587"/>
    <n v="7"/>
    <n v="5"/>
    <x v="25"/>
    <n v="66"/>
    <x v="46"/>
  </r>
  <r>
    <s v="Circo Loco"/>
    <s v="Drake, 21 Savage"/>
    <n v="2"/>
    <x v="2"/>
    <n v="11"/>
    <n v="4"/>
    <n v="1794"/>
    <n v="0"/>
    <n v="141720999"/>
    <n v="26"/>
    <n v="9"/>
    <x v="78"/>
    <n v="73"/>
    <x v="23"/>
  </r>
  <r>
    <s v="Labyrinth"/>
    <s v="Taylor Swift"/>
    <n v="1"/>
    <x v="2"/>
    <n v="10"/>
    <n v="21"/>
    <n v="1597"/>
    <n v="0"/>
    <n v="187339835"/>
    <n v="6"/>
    <n v="3"/>
    <x v="24"/>
    <n v="48"/>
    <x v="67"/>
  </r>
  <r>
    <s v="Spin Bout U"/>
    <s v="Drake, 21 Savage"/>
    <n v="2"/>
    <x v="2"/>
    <n v="11"/>
    <n v="4"/>
    <n v="1652"/>
    <n v="2"/>
    <n v="198365537"/>
    <n v="26"/>
    <n v="52"/>
    <x v="8"/>
    <n v="77"/>
    <x v="34"/>
  </r>
  <r>
    <s v="Sweet Nothing"/>
    <s v="Taylor Swift"/>
    <n v="1"/>
    <x v="2"/>
    <n v="10"/>
    <n v="21"/>
    <n v="1747"/>
    <n v="0"/>
    <n v="186104310"/>
    <n v="9"/>
    <n v="6"/>
    <x v="102"/>
    <n v="34"/>
    <x v="79"/>
  </r>
  <r>
    <s v="Would've, Could've, Should've"/>
    <s v="Taylor Swift"/>
    <n v="1"/>
    <x v="2"/>
    <n v="10"/>
    <n v="21"/>
    <n v="1715"/>
    <n v="0"/>
    <n v="177503916"/>
    <n v="4"/>
    <n v="5"/>
    <x v="62"/>
    <n v="48"/>
    <x v="21"/>
  </r>
  <r>
    <s v="Con La Brisa"/>
    <s v="Ludwig Goransson, Foudeqush"/>
    <n v="2"/>
    <x v="2"/>
    <n v="11"/>
    <n v="4"/>
    <n v="486"/>
    <n v="0"/>
    <n v="71095708"/>
    <n v="8"/>
    <n v="1"/>
    <x v="64"/>
    <n v="62"/>
    <x v="45"/>
  </r>
  <r>
    <s v="Privileged Rappers"/>
    <s v="Drake, 21 Savage"/>
    <n v="2"/>
    <x v="2"/>
    <n v="11"/>
    <n v="4"/>
    <n v="1007"/>
    <n v="0"/>
    <n v="112436403"/>
    <n v="6"/>
    <n v="5"/>
    <x v="4"/>
    <n v="93"/>
    <x v="23"/>
  </r>
  <r>
    <s v="The Astronaut"/>
    <s v="Jin"/>
    <n v="1"/>
    <x v="2"/>
    <n v="10"/>
    <n v="28"/>
    <n v="481"/>
    <n v="9"/>
    <n v="203436468"/>
    <n v="10"/>
    <n v="100"/>
    <x v="0"/>
    <n v="54"/>
    <x v="6"/>
  </r>
  <r>
    <s v="BackOutsideBoyz"/>
    <s v="Drake"/>
    <n v="1"/>
    <x v="2"/>
    <n v="11"/>
    <n v="4"/>
    <n v="1045"/>
    <n v="0"/>
    <n v="93367537"/>
    <n v="8"/>
    <n v="5"/>
    <x v="51"/>
    <n v="85"/>
    <x v="12"/>
  </r>
  <r>
    <s v="Broke Boys"/>
    <s v="Drake, 21 Savage"/>
    <n v="2"/>
    <x v="2"/>
    <n v="11"/>
    <n v="4"/>
    <n v="1060"/>
    <n v="0"/>
    <n v="106249219"/>
    <n v="3"/>
    <n v="8"/>
    <x v="14"/>
    <n v="64"/>
    <x v="2"/>
  </r>
  <r>
    <s v="The Great War"/>
    <s v="Taylor Swift"/>
    <n v="1"/>
    <x v="2"/>
    <n v="10"/>
    <n v="21"/>
    <n v="1274"/>
    <n v="0"/>
    <n v="181382590"/>
    <n v="1"/>
    <n v="6"/>
    <x v="30"/>
    <n v="57"/>
    <x v="1"/>
  </r>
  <r>
    <s v="My Mind &amp; Me"/>
    <s v="Selena Gomez"/>
    <n v="1"/>
    <x v="2"/>
    <n v="11"/>
    <n v="3"/>
    <n v="953"/>
    <n v="0"/>
    <n v="91473363"/>
    <n v="61"/>
    <n v="13"/>
    <x v="4"/>
    <n v="60"/>
    <x v="60"/>
  </r>
  <r>
    <s v="Bigger Than The Whole Sky"/>
    <s v="Taylor Swift"/>
    <n v="1"/>
    <x v="2"/>
    <n v="10"/>
    <n v="21"/>
    <n v="1180"/>
    <n v="0"/>
    <n v="121871870"/>
    <n v="4"/>
    <n v="0"/>
    <x v="82"/>
    <n v="42"/>
    <x v="74"/>
  </r>
  <r>
    <s v="A Veces (feat. Feid)"/>
    <s v="Feid, Paulo Londra"/>
    <n v="2"/>
    <x v="2"/>
    <n v="11"/>
    <n v="3"/>
    <n v="573"/>
    <n v="0"/>
    <n v="73513683"/>
    <n v="2"/>
    <n v="0"/>
    <x v="1"/>
    <n v="80"/>
    <x v="18"/>
  </r>
  <r>
    <s v="En La De Ella"/>
    <s v="Feid, Sech, Jhayco"/>
    <n v="3"/>
    <x v="2"/>
    <n v="10"/>
    <n v="20"/>
    <n v="1320"/>
    <n v="0"/>
    <n v="133895612"/>
    <n v="29"/>
    <n v="26"/>
    <x v="28"/>
    <n v="82"/>
    <x v="53"/>
  </r>
  <r>
    <s v="Alone"/>
    <s v="Burna Boy"/>
    <n v="1"/>
    <x v="2"/>
    <n v="11"/>
    <n v="4"/>
    <n v="782"/>
    <n v="2"/>
    <n v="96007391"/>
    <n v="27"/>
    <n v="18"/>
    <x v="32"/>
    <n v="61"/>
    <x v="18"/>
  </r>
  <r>
    <s v="Alone"/>
    <m/>
    <m/>
    <x v="50"/>
    <m/>
    <m/>
    <m/>
    <m/>
    <m/>
    <m/>
    <m/>
    <x v="124"/>
    <m/>
    <x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B9ED9-6FEA-46DA-8737-2BA6C8EBB803}" name="PivotTable1" cacheId="4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J1:AK53" firstHeaderRow="1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>
      <items count="52">
        <item x="30"/>
        <item x="42"/>
        <item x="39"/>
        <item x="41"/>
        <item x="38"/>
        <item x="33"/>
        <item x="32"/>
        <item x="35"/>
        <item x="34"/>
        <item x="23"/>
        <item x="36"/>
        <item x="37"/>
        <item x="29"/>
        <item x="12"/>
        <item x="40"/>
        <item x="48"/>
        <item x="21"/>
        <item x="24"/>
        <item x="17"/>
        <item x="43"/>
        <item x="49"/>
        <item x="45"/>
        <item x="22"/>
        <item x="31"/>
        <item x="27"/>
        <item x="46"/>
        <item x="26"/>
        <item x="47"/>
        <item x="10"/>
        <item x="25"/>
        <item x="19"/>
        <item x="28"/>
        <item x="16"/>
        <item x="44"/>
        <item x="18"/>
        <item x="11"/>
        <item x="20"/>
        <item x="15"/>
        <item x="9"/>
        <item x="3"/>
        <item x="4"/>
        <item x="14"/>
        <item x="8"/>
        <item x="6"/>
        <item x="5"/>
        <item x="1"/>
        <item x="7"/>
        <item x="13"/>
        <item x="2"/>
        <item x="0"/>
        <item x="5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Average of streams" fld="8" subtotal="average" baseField="0" baseItem="0"/>
  </dataFields>
  <formats count="13">
    <format dxfId="34">
      <pivotArea outline="0" fieldPosition="0">
        <references count="1">
          <reference field="3" count="1" selected="0">
            <x v="0"/>
          </reference>
        </references>
      </pivotArea>
    </format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3" type="button" dataOnly="0" labelOnly="1" outline="0" axis="axisRow" fieldPosition="0"/>
    </format>
    <format dxfId="38">
      <pivotArea dataOnly="0" labelOnly="1" outline="0" fieldPosition="0">
        <references count="1">
          <reference field="3" count="0"/>
        </references>
      </pivotArea>
    </format>
    <format dxfId="39">
      <pivotArea dataOnly="0" labelOnly="1" grandRow="1" outline="0" fieldPosition="0"/>
    </format>
    <format dxfId="40">
      <pivotArea dataOnly="0" labelOnly="1" outline="0" axis="axisValues" fieldPosition="0"/>
    </format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3" type="button" dataOnly="0" labelOnly="1" outline="0" axis="axisRow" fieldPosition="0"/>
    </format>
    <format dxfId="44">
      <pivotArea dataOnly="0" labelOnly="1" outline="0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6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045F8-089E-469D-BCD6-19CFDA0A938E}" name="PivotTable2" cacheId="4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Q1:R126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6">
        <item x="108"/>
        <item x="37"/>
        <item x="116"/>
        <item x="114"/>
        <item x="111"/>
        <item x="85"/>
        <item x="104"/>
        <item x="99"/>
        <item x="101"/>
        <item x="15"/>
        <item x="34"/>
        <item x="73"/>
        <item x="45"/>
        <item x="44"/>
        <item x="9"/>
        <item x="61"/>
        <item x="81"/>
        <item x="110"/>
        <item x="98"/>
        <item x="56"/>
        <item x="13"/>
        <item x="32"/>
        <item x="90"/>
        <item x="1"/>
        <item x="59"/>
        <item x="46"/>
        <item x="31"/>
        <item x="30"/>
        <item x="28"/>
        <item x="27"/>
        <item x="20"/>
        <item x="7"/>
        <item x="41"/>
        <item x="50"/>
        <item x="105"/>
        <item x="78"/>
        <item x="86"/>
        <item x="38"/>
        <item x="21"/>
        <item x="65"/>
        <item x="83"/>
        <item x="24"/>
        <item x="95"/>
        <item x="58"/>
        <item x="100"/>
        <item x="64"/>
        <item x="71"/>
        <item x="52"/>
        <item x="63"/>
        <item x="11"/>
        <item x="72"/>
        <item x="14"/>
        <item x="66"/>
        <item x="22"/>
        <item x="17"/>
        <item x="47"/>
        <item x="0"/>
        <item x="25"/>
        <item x="67"/>
        <item x="33"/>
        <item x="53"/>
        <item x="8"/>
        <item x="49"/>
        <item x="48"/>
        <item x="19"/>
        <item x="35"/>
        <item x="18"/>
        <item x="55"/>
        <item x="40"/>
        <item x="2"/>
        <item x="68"/>
        <item x="16"/>
        <item x="5"/>
        <item x="51"/>
        <item x="57"/>
        <item x="4"/>
        <item x="80"/>
        <item x="70"/>
        <item x="103"/>
        <item x="6"/>
        <item x="88"/>
        <item x="10"/>
        <item x="106"/>
        <item x="107"/>
        <item x="92"/>
        <item x="77"/>
        <item x="87"/>
        <item x="121"/>
        <item x="84"/>
        <item x="62"/>
        <item x="74"/>
        <item x="113"/>
        <item x="69"/>
        <item x="76"/>
        <item x="79"/>
        <item x="123"/>
        <item x="82"/>
        <item x="26"/>
        <item x="89"/>
        <item x="3"/>
        <item x="39"/>
        <item x="54"/>
        <item x="42"/>
        <item x="12"/>
        <item x="97"/>
        <item x="94"/>
        <item x="102"/>
        <item x="93"/>
        <item x="109"/>
        <item x="29"/>
        <item x="112"/>
        <item x="96"/>
        <item x="122"/>
        <item x="115"/>
        <item x="36"/>
        <item x="120"/>
        <item x="117"/>
        <item x="75"/>
        <item x="119"/>
        <item x="43"/>
        <item x="118"/>
        <item x="91"/>
        <item x="23"/>
        <item x="60"/>
        <item h="1" x="124"/>
        <item t="default"/>
      </items>
    </pivotField>
    <pivotField compact="0" outline="0" showAll="0"/>
    <pivotField dataField="1" compact="0" outline="0" showAll="0">
      <items count="82">
        <item x="15"/>
        <item x="66"/>
        <item x="76"/>
        <item x="79"/>
        <item x="77"/>
        <item x="73"/>
        <item x="74"/>
        <item x="70"/>
        <item x="75"/>
        <item x="57"/>
        <item x="68"/>
        <item x="78"/>
        <item x="52"/>
        <item x="67"/>
        <item x="62"/>
        <item x="63"/>
        <item x="42"/>
        <item x="46"/>
        <item x="69"/>
        <item x="56"/>
        <item x="65"/>
        <item x="60"/>
        <item x="49"/>
        <item x="43"/>
        <item x="17"/>
        <item x="12"/>
        <item x="45"/>
        <item x="54"/>
        <item x="64"/>
        <item x="40"/>
        <item x="9"/>
        <item x="72"/>
        <item x="27"/>
        <item x="61"/>
        <item x="32"/>
        <item x="2"/>
        <item x="36"/>
        <item x="47"/>
        <item x="29"/>
        <item x="41"/>
        <item x="5"/>
        <item x="14"/>
        <item x="44"/>
        <item x="23"/>
        <item x="8"/>
        <item x="24"/>
        <item x="30"/>
        <item x="26"/>
        <item x="16"/>
        <item x="18"/>
        <item x="11"/>
        <item x="50"/>
        <item x="34"/>
        <item x="7"/>
        <item x="3"/>
        <item x="13"/>
        <item x="1"/>
        <item x="59"/>
        <item x="6"/>
        <item x="53"/>
        <item x="39"/>
        <item x="25"/>
        <item x="4"/>
        <item x="31"/>
        <item x="10"/>
        <item x="0"/>
        <item x="21"/>
        <item x="20"/>
        <item x="19"/>
        <item x="22"/>
        <item x="35"/>
        <item x="38"/>
        <item x="48"/>
        <item x="33"/>
        <item x="55"/>
        <item x="51"/>
        <item x="58"/>
        <item x="71"/>
        <item x="37"/>
        <item x="28"/>
        <item x="80"/>
        <item t="default"/>
      </items>
    </pivotField>
  </pivotFields>
  <rowFields count="1">
    <field x="11"/>
  </rowFields>
  <rowItems count="1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Items count="1">
    <i/>
  </colItems>
  <dataFields count="1">
    <dataField name="Average of energy_%" fld="13" subtotal="average" baseField="11" baseItem="123" numFmtId="164"/>
  </dataFields>
  <formats count="1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11" type="button" dataOnly="0" labelOnly="1" outline="0" axis="axisRow" fieldPosition="0"/>
    </format>
    <format dxfId="21">
      <pivotArea dataOnly="0" labelOnly="1" outline="0" fieldPosition="0">
        <references count="1">
          <reference field="1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">
      <pivotArea dataOnly="0" labelOnly="1" outline="0" fieldPosition="0">
        <references count="1">
          <reference field="1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">
      <pivotArea dataOnly="0" labelOnly="1" outline="0" fieldPosition="0">
        <references count="1">
          <reference field="11" count="24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</reference>
        </references>
      </pivotArea>
    </format>
    <format dxfId="24">
      <pivotArea dataOnly="0" labelOnly="1" grandRow="1" outline="0" fieldPosition="0"/>
    </format>
    <format dxfId="25">
      <pivotArea dataOnly="0" labelOnly="1" outline="0" axis="axisValues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11" type="button" dataOnly="0" labelOnly="1" outline="0" axis="axisRow" fieldPosition="0"/>
    </format>
    <format dxfId="29">
      <pivotArea dataOnly="0" labelOnly="1" outline="0" fieldPosition="0">
        <references count="1">
          <reference field="1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0">
      <pivotArea dataOnly="0" labelOnly="1" outline="0" fieldPosition="0">
        <references count="1">
          <reference field="1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1">
      <pivotArea dataOnly="0" labelOnly="1" outline="0" fieldPosition="0">
        <references count="1">
          <reference field="11" count="24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</reference>
        </references>
      </pivotArea>
    </format>
    <format dxfId="32">
      <pivotArea dataOnly="0" labelOnly="1" grandRow="1" outline="0" fieldPosition="0"/>
    </format>
    <format dxfId="33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8474E-AE1F-441F-8F68-891D3BEEAC86}" name="Table1" displayName="Table1" ref="A1:N955" totalsRowShown="0">
  <autoFilter ref="A1:N955" xr:uid="{4568474E-AE1F-441F-8F68-891D3BEEAC86}"/>
  <tableColumns count="14">
    <tableColumn id="1" xr3:uid="{724A32AF-671C-4642-BAF8-52BF53DD5007}" name="track_name" dataDxfId="17"/>
    <tableColumn id="2" xr3:uid="{3131963E-9DBF-475C-98EF-840CAC0F403A}" name="artist(s)_name"/>
    <tableColumn id="3" xr3:uid="{7C28C39B-3AB4-4AB8-922B-350E67251AA6}" name="artist_count"/>
    <tableColumn id="4" xr3:uid="{F3DD0133-5FC9-4BF2-81AB-6752A08905EF}" name="released_year"/>
    <tableColumn id="5" xr3:uid="{E0609115-ECF6-45F5-B0CF-4F02F01F6CE2}" name="released_month"/>
    <tableColumn id="6" xr3:uid="{CB400382-5FA1-481E-82F3-1156AD586740}" name="released_day"/>
    <tableColumn id="7" xr3:uid="{463FDBC0-2EAD-4134-8C4A-3CCB7DE7C606}" name="in_spotify_playlists"/>
    <tableColumn id="8" xr3:uid="{8A90C402-EDD7-4167-A033-D7A0614F22BE}" name="in_spotify_charts"/>
    <tableColumn id="9" xr3:uid="{79017D96-687E-4CA5-A7F0-BE626F7A3979}" name="streams"/>
    <tableColumn id="10" xr3:uid="{ED261771-D073-4A91-9BF7-72C4E8B27083}" name="in_apple_playlists"/>
    <tableColumn id="11" xr3:uid="{FB4BC9E7-1E37-4494-9516-6EBD7CA4ABB7}" name="in_apple_charts"/>
    <tableColumn id="15" xr3:uid="{2F63F4E8-05DE-43EA-A49E-983A3ED3DC50}" name="bpm"/>
    <tableColumn id="18" xr3:uid="{3D618F52-B2C4-4034-B69C-9F1A24533753}" name="danceability_perc"/>
    <tableColumn id="20" xr3:uid="{C690F550-6371-40BA-A33E-2591E751B086}" name="energy_per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BE48C7-257E-4AD8-93A3-DC201ED6235C}" name="Table2" displayName="Table2" ref="Y1:AE9" totalsRowCount="1" headerRowDxfId="16" dataDxfId="15" tableBorderDxfId="14">
  <autoFilter ref="Y1:AE8" xr:uid="{7BBE48C7-257E-4AD8-93A3-DC201ED6235C}"/>
  <tableColumns count="7">
    <tableColumn id="1" xr3:uid="{0C2E8511-D1B7-440F-8A38-DC250DFE5AD2}" name="Column1" totalsRowLabel="Range" dataDxfId="12" totalsRowDxfId="13"/>
    <tableColumn id="2" xr3:uid="{E0F04888-024E-4812-B91D-533037D08A4C}" name="Column2" totalsRowFunction="custom" dataDxfId="10" totalsRowDxfId="11">
      <totalsRowFormula>(Z7-Z6)</totalsRowFormula>
    </tableColumn>
    <tableColumn id="3" xr3:uid="{F4696B7A-5477-4C35-8841-0F96E4E1CAFA}" name="Column3" totalsRowFunction="custom" dataDxfId="8" totalsRowDxfId="9">
      <totalsRowFormula>(AA7-AA6)</totalsRowFormula>
    </tableColumn>
    <tableColumn id="4" xr3:uid="{D5216477-4FF4-4542-9395-2DF1FF131371}" name="Column4" totalsRowFunction="custom" dataDxfId="6" totalsRowDxfId="7">
      <totalsRowFormula>(AB7-AB6)</totalsRowFormula>
    </tableColumn>
    <tableColumn id="5" xr3:uid="{D2027D6C-8C7C-4A55-BCD3-B1A09F92E423}" name="Column5" totalsRowFunction="custom" dataDxfId="4" totalsRowDxfId="5">
      <totalsRowFormula>(AC7-AC6)</totalsRowFormula>
    </tableColumn>
    <tableColumn id="6" xr3:uid="{8A293E28-1543-4B48-B89E-7E883C2FD2E2}" name="Column6" totalsRowFunction="custom" dataDxfId="2" totalsRowDxfId="3">
      <totalsRowFormula>(AD7-AD6)</totalsRowFormula>
    </tableColumn>
    <tableColumn id="7" xr3:uid="{2E755F60-C646-49BE-A9C4-D87807B27B92}" name="Column7" totalsRowFunction="custom" dataDxfId="0" totalsRowDxfId="1">
      <totalsRowFormula>(AE7-AE6)</totalsRowFormula>
    </tableColumn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0D75-B76D-4065-8A4D-6A521AE26748}">
  <dimension ref="A1:AK955"/>
  <sheetViews>
    <sheetView tabSelected="1" topLeftCell="J1" zoomScale="60" workbookViewId="0">
      <selection activeCell="O4" sqref="O4"/>
    </sheetView>
  </sheetViews>
  <sheetFormatPr defaultRowHeight="15" customHeight="1"/>
  <cols>
    <col min="1" max="2" width="30.7109375" bestFit="1" customWidth="1"/>
    <col min="3" max="3" width="14.28515625" bestFit="1" customWidth="1"/>
    <col min="4" max="4" width="16.140625" bestFit="1" customWidth="1"/>
    <col min="5" max="5" width="18.140625" bestFit="1" customWidth="1"/>
    <col min="6" max="6" width="15.28515625" bestFit="1" customWidth="1"/>
    <col min="7" max="7" width="20.85546875" bestFit="1" customWidth="1"/>
    <col min="8" max="8" width="19" bestFit="1" customWidth="1"/>
    <col min="9" max="9" width="30.7109375" bestFit="1" customWidth="1"/>
    <col min="10" max="10" width="19.7109375" bestFit="1" customWidth="1"/>
    <col min="11" max="11" width="19.7109375" customWidth="1"/>
    <col min="12" max="12" width="12.42578125" customWidth="1"/>
    <col min="13" max="13" width="17.140625" bestFit="1" customWidth="1"/>
    <col min="14" max="14" width="12.140625" bestFit="1" customWidth="1"/>
    <col min="15" max="15" width="17.42578125" bestFit="1" customWidth="1"/>
    <col min="16" max="16" width="21.7109375" bestFit="1" customWidth="1"/>
    <col min="17" max="17" width="11.7109375" bestFit="1" customWidth="1"/>
    <col min="18" max="18" width="20.28515625" bestFit="1" customWidth="1"/>
    <col min="20" max="20" width="10.85546875" bestFit="1" customWidth="1"/>
    <col min="26" max="26" width="14.28515625" bestFit="1" customWidth="1"/>
    <col min="29" max="29" width="12.5703125" customWidth="1"/>
    <col min="30" max="31" width="11.42578125" bestFit="1" customWidth="1"/>
    <col min="32" max="32" width="12.28515625" customWidth="1"/>
    <col min="33" max="33" width="15.5703125" customWidth="1"/>
    <col min="34" max="34" width="14.85546875" customWidth="1"/>
    <col min="35" max="35" width="10.42578125" customWidth="1"/>
    <col min="36" max="36" width="17" customWidth="1"/>
    <col min="37" max="37" width="18.5703125" customWidth="1"/>
  </cols>
  <sheetData>
    <row r="1" spans="1:37">
      <c r="A1" s="8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s="4" t="s">
        <v>11</v>
      </c>
      <c r="R1" s="4" t="s">
        <v>14</v>
      </c>
      <c r="Y1" s="6" t="s">
        <v>15</v>
      </c>
      <c r="Z1" s="6" t="s">
        <v>16</v>
      </c>
      <c r="AA1" s="6" t="s">
        <v>17</v>
      </c>
      <c r="AB1" s="6" t="s">
        <v>18</v>
      </c>
      <c r="AC1" s="6" t="s">
        <v>19</v>
      </c>
      <c r="AD1" s="6" t="s">
        <v>20</v>
      </c>
      <c r="AE1" s="6" t="s">
        <v>21</v>
      </c>
      <c r="AJ1" s="4" t="s">
        <v>3</v>
      </c>
      <c r="AK1" s="4" t="s">
        <v>22</v>
      </c>
    </row>
    <row r="2" spans="1:37">
      <c r="A2" s="11" t="s">
        <v>23</v>
      </c>
      <c r="B2" s="12" t="s">
        <v>24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125</v>
      </c>
      <c r="M2">
        <v>80</v>
      </c>
      <c r="N2">
        <v>83</v>
      </c>
      <c r="Q2" s="4">
        <v>65</v>
      </c>
      <c r="R2" s="10">
        <v>25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J2" s="4">
        <v>1930</v>
      </c>
      <c r="AK2" s="3">
        <v>90598517</v>
      </c>
    </row>
    <row r="3" spans="1:37">
      <c r="A3" s="13" t="s">
        <v>32</v>
      </c>
      <c r="B3" s="14" t="s">
        <v>33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92</v>
      </c>
      <c r="M3">
        <v>71</v>
      </c>
      <c r="N3">
        <v>74</v>
      </c>
      <c r="Q3" s="4">
        <v>67</v>
      </c>
      <c r="R3" s="10">
        <v>53</v>
      </c>
      <c r="Y3" s="5" t="s">
        <v>34</v>
      </c>
      <c r="Z3" s="7">
        <f>AVERAGE(I2:I953)</f>
        <v>514577099.00210303</v>
      </c>
      <c r="AA3" s="7">
        <f>AVERAGE(L2:L953)</f>
        <v>122.57457983193277</v>
      </c>
      <c r="AB3" s="7">
        <f>AVERAGE(K2:K953)</f>
        <v>51.944327731092436</v>
      </c>
      <c r="AC3" s="7">
        <f>AVERAGE(J2:J953)</f>
        <v>67.855042016806721</v>
      </c>
      <c r="AD3" s="7">
        <f>AVERAGE(G2:G953)</f>
        <v>5204.7657563025214</v>
      </c>
      <c r="AE3" s="7">
        <f>AVERAGE(H2:H953)</f>
        <v>12.019957983193278</v>
      </c>
      <c r="AJ3" s="4">
        <v>1942</v>
      </c>
      <c r="AK3" s="4">
        <v>395591396</v>
      </c>
    </row>
    <row r="4" spans="1:37">
      <c r="A4" s="11" t="s">
        <v>35</v>
      </c>
      <c r="B4" s="12" t="s">
        <v>36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138</v>
      </c>
      <c r="M4">
        <v>51</v>
      </c>
      <c r="N4">
        <v>53</v>
      </c>
      <c r="Q4" s="4">
        <v>71</v>
      </c>
      <c r="R4" s="10">
        <v>44.666666666666664</v>
      </c>
      <c r="Y4" s="5" t="s">
        <v>37</v>
      </c>
      <c r="Z4" s="5">
        <f>_xlfn.MODE.SNGL(I2:I953)</f>
        <v>156338624</v>
      </c>
      <c r="AA4" s="5">
        <f>_xlfn.MODE.SNGL(L2:L953)</f>
        <v>120</v>
      </c>
      <c r="AB4" s="5">
        <f>_xlfn.MODE.SNGL(K2:K953)</f>
        <v>0</v>
      </c>
      <c r="AC4" s="5">
        <f>_xlfn.MODE.SNGL(J2:J953)</f>
        <v>0</v>
      </c>
      <c r="AD4" s="5">
        <f>_xlfn.MODE.SNGL(G2:G953)</f>
        <v>1150</v>
      </c>
      <c r="AE4" s="5">
        <f>MEDIAN(H2:H953)</f>
        <v>3</v>
      </c>
      <c r="AJ4" s="4">
        <v>1946</v>
      </c>
      <c r="AK4" s="4">
        <v>389771964</v>
      </c>
    </row>
    <row r="5" spans="1:37">
      <c r="A5" s="13" t="s">
        <v>38</v>
      </c>
      <c r="B5" s="14" t="s">
        <v>39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170</v>
      </c>
      <c r="M5">
        <v>55</v>
      </c>
      <c r="N5">
        <v>72</v>
      </c>
      <c r="Q5" s="4">
        <v>72</v>
      </c>
      <c r="R5" s="10">
        <v>41.333333333333336</v>
      </c>
      <c r="Y5" s="5" t="s">
        <v>40</v>
      </c>
      <c r="Z5" s="5">
        <f>MEDIAN(I2:I953)</f>
        <v>290833204</v>
      </c>
      <c r="AA5" s="5">
        <f>MEDIAN(L2:L953)</f>
        <v>121</v>
      </c>
      <c r="AB5" s="5">
        <f>MEDIAN(K2:K953)</f>
        <v>38.5</v>
      </c>
      <c r="AC5" s="5">
        <f>MEDIAN(J2:J953)</f>
        <v>34</v>
      </c>
      <c r="AD5" s="5">
        <f>MEDIAN(G2:G953)</f>
        <v>2225</v>
      </c>
      <c r="AE5" s="5">
        <f>_xlfn.MODE.SNGL(H2:H953)</f>
        <v>0</v>
      </c>
      <c r="AJ5" s="4">
        <v>1950</v>
      </c>
      <c r="AK5" s="4">
        <v>473248298</v>
      </c>
    </row>
    <row r="6" spans="1:37">
      <c r="A6" s="11" t="s">
        <v>41</v>
      </c>
      <c r="B6" s="12" t="s">
        <v>42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144</v>
      </c>
      <c r="M6">
        <v>65</v>
      </c>
      <c r="N6">
        <v>80</v>
      </c>
      <c r="Q6" s="4">
        <v>73</v>
      </c>
      <c r="R6" s="10">
        <v>41</v>
      </c>
      <c r="Y6" s="5" t="s">
        <v>43</v>
      </c>
      <c r="Z6" s="5">
        <f>MIN(I2:I953)</f>
        <v>2762</v>
      </c>
      <c r="AA6" s="5">
        <f>MIN(L2:L953)</f>
        <v>65</v>
      </c>
      <c r="AB6" s="5">
        <f>MIN(K2:K953)</f>
        <v>0</v>
      </c>
      <c r="AC6" s="5">
        <f>MIN(J2:J953)</f>
        <v>0</v>
      </c>
      <c r="AD6" s="5">
        <f>MIN(G2:G953)</f>
        <v>31</v>
      </c>
      <c r="AE6" s="5">
        <f>MIN(H2:H953)</f>
        <v>0</v>
      </c>
      <c r="AJ6" s="4">
        <v>1952</v>
      </c>
      <c r="AK6" s="4">
        <v>395591396</v>
      </c>
    </row>
    <row r="7" spans="1:37">
      <c r="A7" s="13" t="s">
        <v>44</v>
      </c>
      <c r="B7" s="14" t="s">
        <v>45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141</v>
      </c>
      <c r="M7">
        <v>92</v>
      </c>
      <c r="N7">
        <v>58</v>
      </c>
      <c r="Q7" s="4">
        <v>74</v>
      </c>
      <c r="R7" s="10">
        <v>67</v>
      </c>
      <c r="Y7" s="5" t="s">
        <v>46</v>
      </c>
      <c r="Z7" s="5">
        <f>MAX(I2:I953)</f>
        <v>3703895074</v>
      </c>
      <c r="AA7" s="5">
        <f>MAX(L2:L953)</f>
        <v>206</v>
      </c>
      <c r="AB7" s="5">
        <f>MAX(K2:K953)</f>
        <v>275</v>
      </c>
      <c r="AC7" s="5">
        <f>MAX(J2:J953)</f>
        <v>672</v>
      </c>
      <c r="AD7" s="5">
        <f>MAX(G2:G953)</f>
        <v>52898</v>
      </c>
      <c r="AE7" s="5">
        <f>MAX(H2:H953)</f>
        <v>147</v>
      </c>
      <c r="AJ7" s="4">
        <v>1957</v>
      </c>
      <c r="AK7" s="4">
        <v>459981011</v>
      </c>
    </row>
    <row r="8" spans="1:37">
      <c r="A8" s="11" t="s">
        <v>47</v>
      </c>
      <c r="B8" s="12" t="s">
        <v>48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148</v>
      </c>
      <c r="M8">
        <v>67</v>
      </c>
      <c r="N8">
        <v>76</v>
      </c>
      <c r="Q8" s="4">
        <v>75</v>
      </c>
      <c r="R8" s="10">
        <v>62</v>
      </c>
      <c r="Y8" s="5" t="s">
        <v>49</v>
      </c>
      <c r="Z8" s="5">
        <f>_xlfn.STDEV.S(I2:I953)</f>
        <v>566992779.00762236</v>
      </c>
      <c r="AA8" s="7">
        <f>_xlfn.STDEV.S(L2:L953)</f>
        <v>28.052690112290616</v>
      </c>
      <c r="AB8" s="7">
        <f>_xlfn.STDEV.S(K2:K953)</f>
        <v>50.644905629433708</v>
      </c>
      <c r="AC8" s="7">
        <f>_xlfn.STDEV.S(J2:J953)</f>
        <v>86.476791898850266</v>
      </c>
      <c r="AD8" s="7">
        <f>_xlfn.STDEV.S(G2:G953)</f>
        <v>7900.4598956210893</v>
      </c>
      <c r="AE8" s="7">
        <f>_xlfn.STDEV.S(H2:H953)</f>
        <v>19.583588828858492</v>
      </c>
      <c r="AJ8" s="4">
        <v>1958</v>
      </c>
      <c r="AK8" s="4">
        <v>436854312.33333331</v>
      </c>
    </row>
    <row r="9" spans="1:37">
      <c r="A9" s="13" t="s">
        <v>50</v>
      </c>
      <c r="B9" s="14" t="s">
        <v>51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100</v>
      </c>
      <c r="M9">
        <v>67</v>
      </c>
      <c r="N9">
        <v>71</v>
      </c>
      <c r="Q9" s="4">
        <v>76</v>
      </c>
      <c r="R9" s="10">
        <v>43.5</v>
      </c>
      <c r="Y9" s="9" t="s">
        <v>52</v>
      </c>
      <c r="Z9" s="5">
        <f>(Z7-Z6)</f>
        <v>3703892312</v>
      </c>
      <c r="AA9" s="5">
        <f t="shared" ref="AA9:AE9" si="0">(AA7-AA6)</f>
        <v>141</v>
      </c>
      <c r="AB9" s="5">
        <f t="shared" si="0"/>
        <v>275</v>
      </c>
      <c r="AC9" s="5">
        <f t="shared" si="0"/>
        <v>672</v>
      </c>
      <c r="AD9" s="5">
        <f t="shared" si="0"/>
        <v>52867</v>
      </c>
      <c r="AE9" s="5">
        <f t="shared" si="0"/>
        <v>147</v>
      </c>
      <c r="AJ9" s="4">
        <v>1959</v>
      </c>
      <c r="AK9" s="4">
        <v>286708922</v>
      </c>
    </row>
    <row r="10" spans="1:37">
      <c r="A10" s="11" t="s">
        <v>53</v>
      </c>
      <c r="B10" s="12" t="s">
        <v>54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130</v>
      </c>
      <c r="M10">
        <v>85</v>
      </c>
      <c r="N10">
        <v>62</v>
      </c>
      <c r="Q10" s="4">
        <v>77</v>
      </c>
      <c r="R10" s="10">
        <v>72.5</v>
      </c>
      <c r="Z10" s="2"/>
      <c r="AJ10" s="4">
        <v>1963</v>
      </c>
      <c r="AK10" s="4">
        <v>437087793.66666669</v>
      </c>
    </row>
    <row r="11" spans="1:37">
      <c r="A11" s="13" t="s">
        <v>55</v>
      </c>
      <c r="B11" s="14" t="s">
        <v>56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170</v>
      </c>
      <c r="M11">
        <v>81</v>
      </c>
      <c r="N11">
        <v>48</v>
      </c>
      <c r="Q11" s="4">
        <v>78</v>
      </c>
      <c r="R11" s="10">
        <v>48.333333333333336</v>
      </c>
      <c r="AJ11" s="4">
        <v>1968</v>
      </c>
      <c r="AK11" s="4">
        <v>1145727611</v>
      </c>
    </row>
    <row r="12" spans="1:37">
      <c r="A12" s="11" t="s">
        <v>57</v>
      </c>
      <c r="B12" s="12" t="s">
        <v>58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83</v>
      </c>
      <c r="M12">
        <v>57</v>
      </c>
      <c r="N12">
        <v>72</v>
      </c>
      <c r="Q12" s="4">
        <v>79</v>
      </c>
      <c r="R12" s="10">
        <v>49.75</v>
      </c>
      <c r="AJ12" s="4">
        <v>1970</v>
      </c>
      <c r="AK12" s="4">
        <v>520034544</v>
      </c>
    </row>
    <row r="13" spans="1:37">
      <c r="A13" s="13" t="s">
        <v>59</v>
      </c>
      <c r="B13" s="14" t="s">
        <v>60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150</v>
      </c>
      <c r="M13">
        <v>78</v>
      </c>
      <c r="N13">
        <v>82</v>
      </c>
      <c r="Q13" s="4">
        <v>80</v>
      </c>
      <c r="R13" s="10">
        <v>56.416666666666664</v>
      </c>
      <c r="AJ13" s="4">
        <v>1971</v>
      </c>
      <c r="AK13" s="4">
        <v>460492795</v>
      </c>
    </row>
    <row r="14" spans="1:37">
      <c r="A14" s="11" t="s">
        <v>61</v>
      </c>
      <c r="B14" s="12" t="s">
        <v>62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118</v>
      </c>
      <c r="M14">
        <v>71</v>
      </c>
      <c r="N14">
        <v>68</v>
      </c>
      <c r="Q14" s="4">
        <v>81</v>
      </c>
      <c r="R14" s="10">
        <v>61</v>
      </c>
      <c r="AJ14" s="4">
        <v>1973</v>
      </c>
      <c r="AK14" s="4">
        <v>838586769</v>
      </c>
    </row>
    <row r="15" spans="1:37">
      <c r="A15" s="13" t="s">
        <v>63</v>
      </c>
      <c r="B15" s="14" t="s">
        <v>64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130</v>
      </c>
      <c r="M15">
        <v>51</v>
      </c>
      <c r="N15">
        <v>43</v>
      </c>
      <c r="Q15" s="4">
        <v>82</v>
      </c>
      <c r="R15" s="10">
        <v>60.285714285714285</v>
      </c>
      <c r="V15" s="1"/>
      <c r="AJ15" s="4">
        <v>1975</v>
      </c>
      <c r="AK15" s="4">
        <v>2103052676</v>
      </c>
    </row>
    <row r="16" spans="1:37">
      <c r="A16" s="11" t="s">
        <v>65</v>
      </c>
      <c r="B16" s="12" t="s">
        <v>66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174</v>
      </c>
      <c r="M16">
        <v>52</v>
      </c>
      <c r="N16">
        <v>73</v>
      </c>
      <c r="Q16" s="4">
        <v>83</v>
      </c>
      <c r="R16" s="10">
        <v>57.4</v>
      </c>
      <c r="AJ16" s="4">
        <v>1979</v>
      </c>
      <c r="AK16" s="4">
        <v>403939487</v>
      </c>
    </row>
    <row r="17" spans="1:37">
      <c r="A17" s="13" t="s">
        <v>67</v>
      </c>
      <c r="B17" s="14" t="s">
        <v>68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89</v>
      </c>
      <c r="M17">
        <v>64</v>
      </c>
      <c r="N17">
        <v>73</v>
      </c>
      <c r="Q17" s="4">
        <v>84</v>
      </c>
      <c r="R17" s="10">
        <v>68.625</v>
      </c>
      <c r="AJ17" s="4">
        <v>1982</v>
      </c>
      <c r="AK17" s="4">
        <v>175137725</v>
      </c>
    </row>
    <row r="18" spans="1:37">
      <c r="A18" s="11" t="s">
        <v>69</v>
      </c>
      <c r="B18" s="12" t="s">
        <v>70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120</v>
      </c>
      <c r="M18">
        <v>78</v>
      </c>
      <c r="N18">
        <v>59</v>
      </c>
      <c r="Q18" s="4">
        <v>85</v>
      </c>
      <c r="R18" s="10">
        <v>59.571428571428569</v>
      </c>
      <c r="AJ18" s="4">
        <v>1983</v>
      </c>
      <c r="AK18" s="4">
        <v>1593270737</v>
      </c>
    </row>
    <row r="19" spans="1:37">
      <c r="A19" s="13" t="s">
        <v>71</v>
      </c>
      <c r="B19" s="14" t="s">
        <v>72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78</v>
      </c>
      <c r="M19">
        <v>44</v>
      </c>
      <c r="N19">
        <v>9</v>
      </c>
      <c r="Q19" s="4">
        <v>86</v>
      </c>
      <c r="R19" s="10">
        <v>41</v>
      </c>
      <c r="AJ19" s="4">
        <v>1984</v>
      </c>
      <c r="AK19" s="4">
        <v>867906341.5</v>
      </c>
    </row>
    <row r="20" spans="1:37">
      <c r="A20" s="11" t="s">
        <v>73</v>
      </c>
      <c r="B20" s="12" t="s">
        <v>74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100</v>
      </c>
      <c r="M20">
        <v>86</v>
      </c>
      <c r="N20">
        <v>66</v>
      </c>
      <c r="Q20" s="4">
        <v>87</v>
      </c>
      <c r="R20" s="10">
        <v>62.5</v>
      </c>
      <c r="AJ20" s="4">
        <v>1985</v>
      </c>
      <c r="AK20" s="4">
        <v>1115404970.5</v>
      </c>
    </row>
    <row r="21" spans="1:37">
      <c r="A21" s="13" t="s">
        <v>75</v>
      </c>
      <c r="B21" s="14" t="s">
        <v>76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120</v>
      </c>
      <c r="M21">
        <v>63</v>
      </c>
      <c r="N21">
        <v>73</v>
      </c>
      <c r="Q21" s="4">
        <v>88</v>
      </c>
      <c r="R21" s="10">
        <v>64.5</v>
      </c>
      <c r="AJ21" s="4">
        <v>1986</v>
      </c>
      <c r="AK21" s="4">
        <v>566837918</v>
      </c>
    </row>
    <row r="22" spans="1:37">
      <c r="A22" s="11" t="s">
        <v>77</v>
      </c>
      <c r="B22" s="12" t="s">
        <v>78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140</v>
      </c>
      <c r="M22">
        <v>65</v>
      </c>
      <c r="N22">
        <v>74</v>
      </c>
      <c r="Q22" s="4">
        <v>89</v>
      </c>
      <c r="R22" s="10">
        <v>56.2</v>
      </c>
      <c r="AJ22" s="4">
        <v>1987</v>
      </c>
      <c r="AK22" s="4">
        <v>1553497987</v>
      </c>
    </row>
    <row r="23" spans="1:37">
      <c r="A23" s="13" t="s">
        <v>79</v>
      </c>
      <c r="B23" s="14" t="s">
        <v>39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123</v>
      </c>
      <c r="M23">
        <v>69</v>
      </c>
      <c r="N23">
        <v>76</v>
      </c>
      <c r="Q23" s="4">
        <v>90</v>
      </c>
      <c r="R23" s="10">
        <v>65.047619047619051</v>
      </c>
      <c r="AJ23" s="4">
        <v>1991</v>
      </c>
      <c r="AK23" s="4">
        <v>1029419894.5</v>
      </c>
    </row>
    <row r="24" spans="1:37">
      <c r="A24" s="11" t="s">
        <v>80</v>
      </c>
      <c r="B24" s="12" t="s">
        <v>81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135</v>
      </c>
      <c r="M24">
        <v>48</v>
      </c>
      <c r="N24">
        <v>42</v>
      </c>
      <c r="Q24" s="4">
        <v>91</v>
      </c>
      <c r="R24" s="10">
        <v>63.75</v>
      </c>
      <c r="AJ24" s="4">
        <v>1992</v>
      </c>
      <c r="AK24" s="4">
        <v>1271293243</v>
      </c>
    </row>
    <row r="25" spans="1:37">
      <c r="A25" s="13" t="s">
        <v>82</v>
      </c>
      <c r="B25" s="14" t="s">
        <v>83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133</v>
      </c>
      <c r="M25">
        <v>85</v>
      </c>
      <c r="N25">
        <v>67</v>
      </c>
      <c r="Q25" s="4">
        <v>92</v>
      </c>
      <c r="R25" s="10">
        <v>65.599999999999994</v>
      </c>
      <c r="AJ25" s="4">
        <v>1994</v>
      </c>
      <c r="AK25" s="4">
        <v>1449779435</v>
      </c>
    </row>
    <row r="26" spans="1:37">
      <c r="A26" s="11" t="s">
        <v>84</v>
      </c>
      <c r="B26" s="12" t="s">
        <v>85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99</v>
      </c>
      <c r="M26">
        <v>85</v>
      </c>
      <c r="N26">
        <v>68</v>
      </c>
      <c r="Q26" s="4">
        <v>93</v>
      </c>
      <c r="R26" s="10">
        <v>67.428571428571431</v>
      </c>
      <c r="AJ26" s="4">
        <v>1995</v>
      </c>
      <c r="AK26" s="4">
        <v>968501958</v>
      </c>
    </row>
    <row r="27" spans="1:37">
      <c r="A27" s="13" t="s">
        <v>86</v>
      </c>
      <c r="B27" s="14" t="s">
        <v>87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130</v>
      </c>
      <c r="M27">
        <v>79</v>
      </c>
      <c r="N27">
        <v>86</v>
      </c>
      <c r="Q27" s="4">
        <v>94</v>
      </c>
      <c r="R27" s="10">
        <v>63.266666666666666</v>
      </c>
      <c r="AJ27" s="4">
        <v>1996</v>
      </c>
      <c r="AK27" s="4">
        <v>106933107</v>
      </c>
    </row>
    <row r="28" spans="1:37">
      <c r="A28" s="11" t="s">
        <v>88</v>
      </c>
      <c r="B28" s="12" t="s">
        <v>89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107</v>
      </c>
      <c r="M28">
        <v>80</v>
      </c>
      <c r="N28">
        <v>80</v>
      </c>
      <c r="Q28" s="4">
        <v>95</v>
      </c>
      <c r="R28" s="10">
        <v>69.6875</v>
      </c>
      <c r="AJ28" s="4">
        <v>1997</v>
      </c>
      <c r="AK28" s="4">
        <v>103762518</v>
      </c>
    </row>
    <row r="29" spans="1:37">
      <c r="A29" s="13" t="s">
        <v>90</v>
      </c>
      <c r="B29" s="14" t="s">
        <v>91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122</v>
      </c>
      <c r="M29">
        <v>81</v>
      </c>
      <c r="N29">
        <v>71</v>
      </c>
      <c r="Q29" s="4">
        <v>96</v>
      </c>
      <c r="R29" s="10">
        <v>62</v>
      </c>
      <c r="AJ29" s="4">
        <v>1998</v>
      </c>
      <c r="AK29" s="4">
        <v>1284942608</v>
      </c>
    </row>
    <row r="30" spans="1:37">
      <c r="A30" s="11" t="s">
        <v>92</v>
      </c>
      <c r="B30" s="12" t="s">
        <v>93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204</v>
      </c>
      <c r="M30">
        <v>52</v>
      </c>
      <c r="N30">
        <v>68</v>
      </c>
      <c r="Q30" s="4">
        <v>97</v>
      </c>
      <c r="R30" s="10">
        <v>73.625</v>
      </c>
      <c r="AJ30" s="4">
        <v>1999</v>
      </c>
      <c r="AK30" s="4">
        <v>1080615564.4000001</v>
      </c>
    </row>
    <row r="31" spans="1:37">
      <c r="A31" s="13" t="s">
        <v>94</v>
      </c>
      <c r="B31" s="14" t="s">
        <v>95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110</v>
      </c>
      <c r="M31">
        <v>67</v>
      </c>
      <c r="N31">
        <v>85</v>
      </c>
      <c r="Q31" s="4">
        <v>98</v>
      </c>
      <c r="R31" s="10">
        <v>63.1875</v>
      </c>
      <c r="AJ31" s="4">
        <v>2000</v>
      </c>
      <c r="AK31" s="4">
        <v>983493509.75</v>
      </c>
    </row>
    <row r="32" spans="1:37">
      <c r="A32" s="11" t="s">
        <v>96</v>
      </c>
      <c r="B32" s="12" t="s">
        <v>97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126</v>
      </c>
      <c r="M32">
        <v>74</v>
      </c>
      <c r="N32">
        <v>84</v>
      </c>
      <c r="Q32" s="4">
        <v>99</v>
      </c>
      <c r="R32" s="10">
        <v>65</v>
      </c>
      <c r="AJ32" s="4">
        <v>2002</v>
      </c>
      <c r="AK32" s="4">
        <v>1446620470.5</v>
      </c>
    </row>
    <row r="33" spans="1:37">
      <c r="A33" s="13" t="s">
        <v>98</v>
      </c>
      <c r="B33" s="14" t="s">
        <v>99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168</v>
      </c>
      <c r="M33">
        <v>56</v>
      </c>
      <c r="N33">
        <v>87</v>
      </c>
      <c r="Q33" s="4">
        <v>100</v>
      </c>
      <c r="R33" s="10">
        <v>59</v>
      </c>
      <c r="AJ33" s="4">
        <v>2003</v>
      </c>
      <c r="AK33" s="4">
        <v>1584021370.5</v>
      </c>
    </row>
    <row r="34" spans="1:37">
      <c r="A34" s="11" t="s">
        <v>100</v>
      </c>
      <c r="B34" s="12" t="s">
        <v>101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98</v>
      </c>
      <c r="M34">
        <v>71</v>
      </c>
      <c r="N34">
        <v>61</v>
      </c>
      <c r="Q34" s="4">
        <v>101</v>
      </c>
      <c r="R34" s="10">
        <v>70.7</v>
      </c>
      <c r="AJ34" s="4">
        <v>2004</v>
      </c>
      <c r="AK34" s="4">
        <v>878929559.75</v>
      </c>
    </row>
    <row r="35" spans="1:37">
      <c r="A35" s="13" t="s">
        <v>102</v>
      </c>
      <c r="B35" s="14" t="s">
        <v>39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97</v>
      </c>
      <c r="M35">
        <v>64</v>
      </c>
      <c r="N35">
        <v>63</v>
      </c>
      <c r="Q35" s="4">
        <v>102</v>
      </c>
      <c r="R35" s="10">
        <v>76.8</v>
      </c>
      <c r="AJ35" s="4">
        <v>2005</v>
      </c>
      <c r="AK35" s="4">
        <v>180577478</v>
      </c>
    </row>
    <row r="36" spans="1:37">
      <c r="A36" s="11" t="s">
        <v>103</v>
      </c>
      <c r="B36" s="12" t="s">
        <v>104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180</v>
      </c>
      <c r="M36">
        <v>72</v>
      </c>
      <c r="N36">
        <v>63</v>
      </c>
      <c r="Q36" s="4">
        <v>103</v>
      </c>
      <c r="R36" s="10">
        <v>64.5</v>
      </c>
      <c r="AJ36" s="4">
        <v>2007</v>
      </c>
      <c r="AK36" s="4">
        <v>1217120710</v>
      </c>
    </row>
    <row r="37" spans="1:37">
      <c r="A37" s="13" t="s">
        <v>105</v>
      </c>
      <c r="B37" s="14" t="s">
        <v>106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120</v>
      </c>
      <c r="M37">
        <v>81</v>
      </c>
      <c r="N37">
        <v>68</v>
      </c>
      <c r="Q37" s="4">
        <v>104</v>
      </c>
      <c r="R37" s="10">
        <v>66.5</v>
      </c>
      <c r="AJ37" s="4">
        <v>2008</v>
      </c>
      <c r="AK37" s="4">
        <v>1240407950</v>
      </c>
    </row>
    <row r="38" spans="1:37">
      <c r="A38" s="17" t="s">
        <v>107</v>
      </c>
      <c r="B38" s="12" t="s">
        <v>108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150</v>
      </c>
      <c r="M38">
        <v>61</v>
      </c>
      <c r="N38">
        <v>73</v>
      </c>
      <c r="Q38" s="4">
        <v>105</v>
      </c>
      <c r="R38" s="10">
        <v>73.10526315789474</v>
      </c>
      <c r="AJ38" s="4">
        <v>2010</v>
      </c>
      <c r="AK38" s="4">
        <v>1081405682.5714285</v>
      </c>
    </row>
    <row r="39" spans="1:37">
      <c r="A39" s="13" t="s">
        <v>109</v>
      </c>
      <c r="B39" s="14" t="s">
        <v>39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96</v>
      </c>
      <c r="M39">
        <v>75</v>
      </c>
      <c r="N39">
        <v>68</v>
      </c>
      <c r="Q39" s="4">
        <v>106</v>
      </c>
      <c r="R39" s="10">
        <v>65.166666666666671</v>
      </c>
      <c r="AJ39" s="4">
        <v>2011</v>
      </c>
      <c r="AK39" s="4">
        <v>936321290.70000005</v>
      </c>
    </row>
    <row r="40" spans="1:37">
      <c r="A40" s="11" t="s">
        <v>110</v>
      </c>
      <c r="B40" s="12" t="s">
        <v>39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95</v>
      </c>
      <c r="M40">
        <v>60</v>
      </c>
      <c r="N40">
        <v>79</v>
      </c>
      <c r="Q40" s="4">
        <v>107</v>
      </c>
      <c r="R40" s="10">
        <v>62</v>
      </c>
      <c r="AJ40" s="4">
        <v>2012</v>
      </c>
      <c r="AK40" s="4">
        <v>1341534278.7</v>
      </c>
    </row>
    <row r="41" spans="1:37">
      <c r="A41" s="13" t="s">
        <v>111</v>
      </c>
      <c r="B41" s="14" t="s">
        <v>87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125</v>
      </c>
      <c r="M41">
        <v>79</v>
      </c>
      <c r="N41">
        <v>85</v>
      </c>
      <c r="Q41" s="4">
        <v>108</v>
      </c>
      <c r="R41" s="10">
        <v>56.230769230769234</v>
      </c>
      <c r="AJ41" s="4">
        <v>2013</v>
      </c>
      <c r="AK41" s="4">
        <v>1220192294.9230769</v>
      </c>
    </row>
    <row r="42" spans="1:37">
      <c r="A42" s="11" t="s">
        <v>112</v>
      </c>
      <c r="B42" s="12" t="s">
        <v>113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144</v>
      </c>
      <c r="M42">
        <v>56</v>
      </c>
      <c r="N42">
        <v>65</v>
      </c>
      <c r="Q42" s="4">
        <v>109</v>
      </c>
      <c r="R42" s="10">
        <v>64.5</v>
      </c>
      <c r="AJ42" s="4">
        <v>2014</v>
      </c>
      <c r="AK42" s="4">
        <v>1264047139.3846154</v>
      </c>
    </row>
    <row r="43" spans="1:37">
      <c r="A43" s="13" t="s">
        <v>114</v>
      </c>
      <c r="B43" s="14" t="s">
        <v>115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90</v>
      </c>
      <c r="M43">
        <v>76</v>
      </c>
      <c r="N43">
        <v>50</v>
      </c>
      <c r="Q43" s="4">
        <v>110</v>
      </c>
      <c r="R43" s="10">
        <v>62</v>
      </c>
      <c r="AJ43" s="4">
        <v>2015</v>
      </c>
      <c r="AK43" s="4">
        <v>993721360.81818187</v>
      </c>
    </row>
    <row r="44" spans="1:37">
      <c r="A44" s="11" t="s">
        <v>116</v>
      </c>
      <c r="B44" s="12" t="s">
        <v>117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128</v>
      </c>
      <c r="M44">
        <v>56</v>
      </c>
      <c r="N44">
        <v>97</v>
      </c>
      <c r="Q44" s="4">
        <v>111</v>
      </c>
      <c r="R44" s="10">
        <v>59</v>
      </c>
      <c r="AJ44" s="4">
        <v>2016</v>
      </c>
      <c r="AK44" s="4">
        <v>1124607803.5555556</v>
      </c>
    </row>
    <row r="45" spans="1:37">
      <c r="A45" s="13" t="s">
        <v>118</v>
      </c>
      <c r="B45" s="14" t="s">
        <v>119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79</v>
      </c>
      <c r="M45">
        <v>56</v>
      </c>
      <c r="N45">
        <v>56</v>
      </c>
      <c r="Q45" s="4">
        <v>112</v>
      </c>
      <c r="R45" s="10">
        <v>65.400000000000006</v>
      </c>
      <c r="AJ45" s="4">
        <v>2017</v>
      </c>
      <c r="AK45" s="4">
        <v>1367723437.3913043</v>
      </c>
    </row>
    <row r="46" spans="1:37">
      <c r="A46" s="11" t="s">
        <v>120</v>
      </c>
      <c r="B46" s="12" t="s">
        <v>121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144</v>
      </c>
      <c r="M46">
        <v>77</v>
      </c>
      <c r="N46">
        <v>58</v>
      </c>
      <c r="Q46" s="4">
        <v>113</v>
      </c>
      <c r="R46" s="10">
        <v>55</v>
      </c>
      <c r="AJ46" s="4">
        <v>2018</v>
      </c>
      <c r="AK46" s="4">
        <v>1503052239</v>
      </c>
    </row>
    <row r="47" spans="1:37">
      <c r="A47" s="13" t="s">
        <v>122</v>
      </c>
      <c r="B47" s="14" t="s">
        <v>62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122</v>
      </c>
      <c r="M47">
        <v>67</v>
      </c>
      <c r="N47">
        <v>64</v>
      </c>
      <c r="Q47" s="4">
        <v>114</v>
      </c>
      <c r="R47" s="10">
        <v>62.9</v>
      </c>
      <c r="AJ47" s="4">
        <v>2019</v>
      </c>
      <c r="AK47" s="4">
        <v>1051970349.4722222</v>
      </c>
    </row>
    <row r="48" spans="1:37">
      <c r="A48" s="11" t="s">
        <v>123</v>
      </c>
      <c r="B48" s="12" t="s">
        <v>124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140</v>
      </c>
      <c r="M48">
        <v>71</v>
      </c>
      <c r="N48">
        <v>81</v>
      </c>
      <c r="Q48" s="4">
        <v>115</v>
      </c>
      <c r="R48" s="10">
        <v>67.583333333333329</v>
      </c>
      <c r="AJ48" s="4">
        <v>2020</v>
      </c>
      <c r="AK48" s="4">
        <v>937938698.83783782</v>
      </c>
    </row>
    <row r="49" spans="1:37">
      <c r="A49" s="13" t="s">
        <v>125</v>
      </c>
      <c r="B49" s="14" t="s">
        <v>126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134</v>
      </c>
      <c r="M49">
        <v>59</v>
      </c>
      <c r="N49">
        <v>52</v>
      </c>
      <c r="Q49" s="4">
        <v>116</v>
      </c>
      <c r="R49" s="10">
        <v>71.444444444444443</v>
      </c>
      <c r="AJ49" s="4">
        <v>2021</v>
      </c>
      <c r="AK49" s="4">
        <v>620236159.99159658</v>
      </c>
    </row>
    <row r="50" spans="1:37">
      <c r="A50" s="11" t="s">
        <v>127</v>
      </c>
      <c r="B50" s="12" t="s">
        <v>128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>
        <v>186</v>
      </c>
      <c r="M50">
        <v>68</v>
      </c>
      <c r="N50">
        <v>59</v>
      </c>
      <c r="Q50" s="4">
        <v>117</v>
      </c>
      <c r="R50" s="10">
        <v>64.444444444444443</v>
      </c>
      <c r="AJ50" s="4">
        <v>2022</v>
      </c>
      <c r="AK50" s="4">
        <v>289558154.13432837</v>
      </c>
    </row>
    <row r="51" spans="1:37">
      <c r="A51" s="13" t="s">
        <v>129</v>
      </c>
      <c r="B51" s="14" t="s">
        <v>130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67</v>
      </c>
      <c r="M51">
        <v>53</v>
      </c>
      <c r="N51">
        <v>53</v>
      </c>
      <c r="Q51" s="4">
        <v>118</v>
      </c>
      <c r="R51" s="10">
        <v>64.285714285714292</v>
      </c>
      <c r="AJ51" s="4">
        <v>2023</v>
      </c>
      <c r="AK51" s="4">
        <v>147477052.02285713</v>
      </c>
    </row>
    <row r="52" spans="1:37">
      <c r="A52" s="11" t="s">
        <v>131</v>
      </c>
      <c r="B52" s="12" t="s">
        <v>132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106</v>
      </c>
      <c r="M52">
        <v>72</v>
      </c>
      <c r="N52">
        <v>64</v>
      </c>
      <c r="Q52" s="4">
        <v>119</v>
      </c>
      <c r="R52" s="10">
        <v>52.6</v>
      </c>
      <c r="AJ52" s="4" t="s">
        <v>133</v>
      </c>
      <c r="AK52" s="4"/>
    </row>
    <row r="53" spans="1:37">
      <c r="A53" s="13" t="s">
        <v>134</v>
      </c>
      <c r="B53" s="14" t="s">
        <v>135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128</v>
      </c>
      <c r="M53">
        <v>60</v>
      </c>
      <c r="N53">
        <v>91</v>
      </c>
      <c r="Q53" s="4">
        <v>120</v>
      </c>
      <c r="R53" s="10">
        <v>64.230769230769226</v>
      </c>
      <c r="AJ53" s="4" t="s">
        <v>136</v>
      </c>
      <c r="AK53" s="4">
        <v>514137424.93907565</v>
      </c>
    </row>
    <row r="54" spans="1:37">
      <c r="A54" s="11" t="s">
        <v>137</v>
      </c>
      <c r="B54" s="12" t="s">
        <v>138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107</v>
      </c>
      <c r="M54">
        <v>92</v>
      </c>
      <c r="N54">
        <v>70</v>
      </c>
      <c r="Q54" s="4">
        <v>121</v>
      </c>
      <c r="R54" s="10">
        <v>71.599999999999994</v>
      </c>
    </row>
    <row r="55" spans="1:37">
      <c r="A55" s="13" t="s">
        <v>139</v>
      </c>
      <c r="B55" s="14" t="s">
        <v>140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130</v>
      </c>
      <c r="M55">
        <v>67</v>
      </c>
      <c r="N55">
        <v>88</v>
      </c>
      <c r="Q55" s="4">
        <v>122</v>
      </c>
      <c r="R55" s="10">
        <v>71.05263157894737</v>
      </c>
    </row>
    <row r="56" spans="1:37">
      <c r="A56" s="11" t="s">
        <v>141</v>
      </c>
      <c r="B56" s="12" t="s">
        <v>142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>
        <v>123</v>
      </c>
      <c r="M56">
        <v>45</v>
      </c>
      <c r="N56">
        <v>54</v>
      </c>
      <c r="Q56" s="4">
        <v>123</v>
      </c>
      <c r="R56" s="10">
        <v>71.75</v>
      </c>
    </row>
    <row r="57" spans="1:37">
      <c r="A57" s="13" t="s">
        <v>143</v>
      </c>
      <c r="B57" s="14" t="s">
        <v>126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>
        <v>171</v>
      </c>
      <c r="M57">
        <v>50</v>
      </c>
      <c r="N57">
        <v>80</v>
      </c>
      <c r="Q57" s="4">
        <v>124</v>
      </c>
      <c r="R57" s="10">
        <v>65.142857142857139</v>
      </c>
    </row>
    <row r="58" spans="1:37">
      <c r="A58" s="11" t="s">
        <v>144</v>
      </c>
      <c r="B58" s="12" t="s">
        <v>145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137</v>
      </c>
      <c r="M58">
        <v>64</v>
      </c>
      <c r="N58">
        <v>72</v>
      </c>
      <c r="Q58" s="4">
        <v>125</v>
      </c>
      <c r="R58" s="10">
        <v>76.055555555555557</v>
      </c>
    </row>
    <row r="59" spans="1:37">
      <c r="A59" s="13" t="s">
        <v>146</v>
      </c>
      <c r="B59" s="14" t="s">
        <v>147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125</v>
      </c>
      <c r="M59">
        <v>84</v>
      </c>
      <c r="N59">
        <v>68</v>
      </c>
      <c r="Q59" s="4">
        <v>126</v>
      </c>
      <c r="R59" s="10">
        <v>67.900000000000006</v>
      </c>
    </row>
    <row r="60" spans="1:37">
      <c r="A60" s="11" t="s">
        <v>148</v>
      </c>
      <c r="B60" s="12" t="s">
        <v>138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128</v>
      </c>
      <c r="M60">
        <v>86</v>
      </c>
      <c r="N60">
        <v>72</v>
      </c>
      <c r="Q60" s="4">
        <v>127</v>
      </c>
      <c r="R60" s="10">
        <v>82.25</v>
      </c>
    </row>
    <row r="61" spans="1:37">
      <c r="A61" s="13" t="s">
        <v>149</v>
      </c>
      <c r="B61" s="14" t="s">
        <v>39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130</v>
      </c>
      <c r="M61">
        <v>61</v>
      </c>
      <c r="N61">
        <v>58</v>
      </c>
      <c r="Q61" s="4">
        <v>128</v>
      </c>
      <c r="R61" s="10">
        <v>75.07692307692308</v>
      </c>
    </row>
    <row r="62" spans="1:37">
      <c r="A62" s="11" t="s">
        <v>150</v>
      </c>
      <c r="B62" s="12" t="s">
        <v>151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130</v>
      </c>
      <c r="M62">
        <v>86</v>
      </c>
      <c r="N62">
        <v>96</v>
      </c>
      <c r="Q62" s="4">
        <v>129</v>
      </c>
      <c r="R62" s="10">
        <v>56.428571428571431</v>
      </c>
    </row>
    <row r="63" spans="1:37">
      <c r="A63" s="13" t="s">
        <v>152</v>
      </c>
      <c r="B63" s="14" t="s">
        <v>153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133</v>
      </c>
      <c r="M63">
        <v>70</v>
      </c>
      <c r="N63">
        <v>81</v>
      </c>
      <c r="Q63" s="4">
        <v>130</v>
      </c>
      <c r="R63" s="10">
        <v>68.838709677419359</v>
      </c>
    </row>
    <row r="64" spans="1:37">
      <c r="A64" s="11" t="s">
        <v>154</v>
      </c>
      <c r="B64" s="12" t="s">
        <v>155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101</v>
      </c>
      <c r="M64">
        <v>88</v>
      </c>
      <c r="N64">
        <v>59</v>
      </c>
      <c r="Q64" s="4">
        <v>131</v>
      </c>
      <c r="R64" s="10">
        <v>57.666666666666664</v>
      </c>
    </row>
    <row r="65" spans="1:18">
      <c r="A65" s="13" t="s">
        <v>156</v>
      </c>
      <c r="B65" s="14" t="s">
        <v>157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95</v>
      </c>
      <c r="M65">
        <v>77</v>
      </c>
      <c r="N65">
        <v>64</v>
      </c>
      <c r="Q65" s="4">
        <v>132</v>
      </c>
      <c r="R65" s="10">
        <v>67.571428571428569</v>
      </c>
    </row>
    <row r="66" spans="1:18">
      <c r="A66" s="11" t="s">
        <v>158</v>
      </c>
      <c r="B66" s="12" t="s">
        <v>159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98</v>
      </c>
      <c r="M66">
        <v>90</v>
      </c>
      <c r="N66">
        <v>59</v>
      </c>
      <c r="Q66" s="4">
        <v>133</v>
      </c>
      <c r="R66" s="10">
        <v>72.777777777777771</v>
      </c>
    </row>
    <row r="67" spans="1:18">
      <c r="A67" s="13" t="s">
        <v>160</v>
      </c>
      <c r="B67" s="14" t="s">
        <v>161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>
        <v>173</v>
      </c>
      <c r="M67">
        <v>43</v>
      </c>
      <c r="N67">
        <v>66</v>
      </c>
      <c r="Q67" s="4">
        <v>134</v>
      </c>
      <c r="R67" s="10">
        <v>56.615384615384613</v>
      </c>
    </row>
    <row r="68" spans="1:18">
      <c r="A68" s="11" t="s">
        <v>162</v>
      </c>
      <c r="B68" s="12" t="s">
        <v>39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90</v>
      </c>
      <c r="M68">
        <v>64</v>
      </c>
      <c r="N68">
        <v>62</v>
      </c>
      <c r="Q68" s="4">
        <v>135</v>
      </c>
      <c r="R68" s="10">
        <v>62.090909090909093</v>
      </c>
    </row>
    <row r="69" spans="1:18">
      <c r="A69" s="13" t="s">
        <v>163</v>
      </c>
      <c r="B69" s="14" t="s">
        <v>164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198</v>
      </c>
      <c r="M69">
        <v>59</v>
      </c>
      <c r="N69">
        <v>42</v>
      </c>
      <c r="Q69" s="4">
        <v>136</v>
      </c>
      <c r="R69" s="10">
        <v>62.714285714285715</v>
      </c>
    </row>
    <row r="70" spans="1:18">
      <c r="A70" s="11" t="s">
        <v>165</v>
      </c>
      <c r="B70" s="12" t="s">
        <v>166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140</v>
      </c>
      <c r="M70">
        <v>56</v>
      </c>
      <c r="N70">
        <v>73</v>
      </c>
      <c r="Q70" s="4">
        <v>137</v>
      </c>
      <c r="R70" s="10">
        <v>73</v>
      </c>
    </row>
    <row r="71" spans="1:18">
      <c r="A71" s="13" t="s">
        <v>167</v>
      </c>
      <c r="B71" s="14" t="s">
        <v>39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82</v>
      </c>
      <c r="M71">
        <v>51</v>
      </c>
      <c r="N71">
        <v>53</v>
      </c>
      <c r="Q71" s="4">
        <v>138</v>
      </c>
      <c r="R71" s="10">
        <v>63.888888888888886</v>
      </c>
    </row>
    <row r="72" spans="1:18">
      <c r="A72" s="11" t="s">
        <v>168</v>
      </c>
      <c r="B72" s="12" t="s">
        <v>169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130</v>
      </c>
      <c r="M72">
        <v>77</v>
      </c>
      <c r="N72">
        <v>89</v>
      </c>
      <c r="Q72" s="4">
        <v>139</v>
      </c>
      <c r="R72" s="10">
        <v>42.666666666666664</v>
      </c>
    </row>
    <row r="73" spans="1:18">
      <c r="A73" s="13" t="s">
        <v>170</v>
      </c>
      <c r="B73" s="14" t="s">
        <v>171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81</v>
      </c>
      <c r="M73">
        <v>76</v>
      </c>
      <c r="N73">
        <v>53</v>
      </c>
      <c r="Q73" s="4">
        <v>140</v>
      </c>
      <c r="R73" s="10">
        <v>63</v>
      </c>
    </row>
    <row r="74" spans="1:18">
      <c r="A74" s="11" t="s">
        <v>172</v>
      </c>
      <c r="B74" s="12" t="s">
        <v>173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94</v>
      </c>
      <c r="M74">
        <v>51</v>
      </c>
      <c r="N74">
        <v>59</v>
      </c>
      <c r="Q74" s="4">
        <v>141</v>
      </c>
      <c r="R74" s="10">
        <v>59.8</v>
      </c>
    </row>
    <row r="75" spans="1:18">
      <c r="A75" s="13" t="s">
        <v>174</v>
      </c>
      <c r="B75" s="14" t="s">
        <v>175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>
        <v>124</v>
      </c>
      <c r="M75">
        <v>61</v>
      </c>
      <c r="N75">
        <v>81</v>
      </c>
      <c r="Q75" s="4">
        <v>142</v>
      </c>
      <c r="R75" s="10">
        <v>61</v>
      </c>
    </row>
    <row r="76" spans="1:18">
      <c r="A76" s="11" t="s">
        <v>176</v>
      </c>
      <c r="B76" s="12" t="s">
        <v>177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128</v>
      </c>
      <c r="M76">
        <v>62</v>
      </c>
      <c r="N76">
        <v>78</v>
      </c>
      <c r="Q76" s="4">
        <v>143</v>
      </c>
      <c r="R76" s="10">
        <v>60.142857142857146</v>
      </c>
    </row>
    <row r="77" spans="1:18">
      <c r="A77" s="13" t="s">
        <v>178</v>
      </c>
      <c r="B77" s="14" t="s">
        <v>179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>
        <v>138</v>
      </c>
      <c r="M77">
        <v>49</v>
      </c>
      <c r="N77">
        <v>62</v>
      </c>
      <c r="Q77" s="4">
        <v>144</v>
      </c>
      <c r="R77" s="10">
        <v>63.333333333333336</v>
      </c>
    </row>
    <row r="78" spans="1:18">
      <c r="A78" s="11" t="s">
        <v>180</v>
      </c>
      <c r="B78" s="12" t="s">
        <v>181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132</v>
      </c>
      <c r="M78">
        <v>58</v>
      </c>
      <c r="N78">
        <v>48</v>
      </c>
      <c r="Q78" s="4">
        <v>145</v>
      </c>
      <c r="R78" s="10">
        <v>60</v>
      </c>
    </row>
    <row r="79" spans="1:18">
      <c r="A79" s="13" t="s">
        <v>182</v>
      </c>
      <c r="B79" s="14" t="s">
        <v>183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131</v>
      </c>
      <c r="M79">
        <v>71</v>
      </c>
      <c r="N79">
        <v>47</v>
      </c>
      <c r="Q79" s="4">
        <v>146</v>
      </c>
      <c r="R79" s="10">
        <v>56.444444444444443</v>
      </c>
    </row>
    <row r="80" spans="1:18">
      <c r="A80" s="11" t="s">
        <v>184</v>
      </c>
      <c r="B80" s="12" t="s">
        <v>185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168</v>
      </c>
      <c r="M80">
        <v>78</v>
      </c>
      <c r="N80">
        <v>73</v>
      </c>
      <c r="Q80" s="4">
        <v>147</v>
      </c>
      <c r="R80" s="10">
        <v>72.2</v>
      </c>
    </row>
    <row r="81" spans="1:37">
      <c r="A81" s="13" t="s">
        <v>186</v>
      </c>
      <c r="B81" s="14" t="s">
        <v>187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98</v>
      </c>
      <c r="M81">
        <v>68</v>
      </c>
      <c r="N81">
        <v>79</v>
      </c>
      <c r="Q81" s="4">
        <v>148</v>
      </c>
      <c r="R81" s="10">
        <v>69</v>
      </c>
    </row>
    <row r="82" spans="1:37">
      <c r="A82" s="11" t="s">
        <v>188</v>
      </c>
      <c r="B82" s="12" t="s">
        <v>189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>
        <v>102</v>
      </c>
      <c r="M82">
        <v>48</v>
      </c>
      <c r="N82">
        <v>73</v>
      </c>
      <c r="Q82" s="4">
        <v>149</v>
      </c>
      <c r="R82" s="10">
        <v>63</v>
      </c>
    </row>
    <row r="83" spans="1:37">
      <c r="A83" s="13" t="s">
        <v>190</v>
      </c>
      <c r="B83" s="14" t="s">
        <v>191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101</v>
      </c>
      <c r="M83">
        <v>34</v>
      </c>
      <c r="N83">
        <v>57</v>
      </c>
      <c r="Q83" s="4">
        <v>150</v>
      </c>
      <c r="R83" s="10">
        <v>60.761904761904759</v>
      </c>
    </row>
    <row r="84" spans="1:37">
      <c r="A84" s="11" t="s">
        <v>192</v>
      </c>
      <c r="B84" s="12" t="s">
        <v>193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130</v>
      </c>
      <c r="M84">
        <v>63</v>
      </c>
      <c r="N84">
        <v>34</v>
      </c>
      <c r="Q84" s="4">
        <v>151</v>
      </c>
      <c r="R84" s="10">
        <v>57</v>
      </c>
    </row>
    <row r="85" spans="1:37">
      <c r="A85" s="13" t="s">
        <v>194</v>
      </c>
      <c r="B85" s="14" t="s">
        <v>39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142</v>
      </c>
      <c r="M85">
        <v>50</v>
      </c>
      <c r="N85">
        <v>64</v>
      </c>
      <c r="Q85" s="4">
        <v>152</v>
      </c>
      <c r="R85" s="10">
        <v>68.333333333333329</v>
      </c>
    </row>
    <row r="86" spans="1:37">
      <c r="A86" s="11" t="s">
        <v>195</v>
      </c>
      <c r="B86" s="12" t="s">
        <v>196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170</v>
      </c>
      <c r="M86">
        <v>59</v>
      </c>
      <c r="N86">
        <v>76</v>
      </c>
      <c r="Q86" s="4">
        <v>153</v>
      </c>
      <c r="R86" s="10">
        <v>65</v>
      </c>
    </row>
    <row r="87" spans="1:37">
      <c r="A87" s="13" t="s">
        <v>197</v>
      </c>
      <c r="B87" s="14" t="s">
        <v>198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124</v>
      </c>
      <c r="M87">
        <v>78</v>
      </c>
      <c r="N87">
        <v>68</v>
      </c>
      <c r="Q87" s="4">
        <v>154</v>
      </c>
      <c r="R87" s="10">
        <v>76</v>
      </c>
    </row>
    <row r="88" spans="1:37">
      <c r="A88" s="11" t="s">
        <v>199</v>
      </c>
      <c r="B88" s="12" t="s">
        <v>200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>
        <v>110</v>
      </c>
      <c r="M88">
        <v>50</v>
      </c>
      <c r="N88">
        <v>41</v>
      </c>
      <c r="Q88" s="4">
        <v>155</v>
      </c>
      <c r="R88" s="10">
        <v>58</v>
      </c>
      <c r="AK88" s="4"/>
    </row>
    <row r="89" spans="1:37">
      <c r="A89" s="13" t="s">
        <v>201</v>
      </c>
      <c r="B89" s="14" t="s">
        <v>202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92</v>
      </c>
      <c r="M89">
        <v>91</v>
      </c>
      <c r="N89">
        <v>71</v>
      </c>
      <c r="Q89" s="4">
        <v>156</v>
      </c>
      <c r="R89" s="10">
        <v>74.5</v>
      </c>
    </row>
    <row r="90" spans="1:37">
      <c r="A90" s="11" t="s">
        <v>203</v>
      </c>
      <c r="B90" s="12" t="s">
        <v>204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>
        <v>116</v>
      </c>
      <c r="M90">
        <v>82</v>
      </c>
      <c r="N90">
        <v>66</v>
      </c>
      <c r="Q90" s="4">
        <v>157</v>
      </c>
      <c r="R90" s="10">
        <v>64.5</v>
      </c>
    </row>
    <row r="91" spans="1:37">
      <c r="A91" s="13" t="s">
        <v>205</v>
      </c>
      <c r="B91" s="14" t="s">
        <v>206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129</v>
      </c>
      <c r="M91">
        <v>63</v>
      </c>
      <c r="N91">
        <v>82</v>
      </c>
      <c r="Q91" s="4">
        <v>158</v>
      </c>
      <c r="R91" s="10">
        <v>70.375</v>
      </c>
    </row>
    <row r="92" spans="1:37">
      <c r="A92" s="11" t="s">
        <v>207</v>
      </c>
      <c r="B92" s="12" t="s">
        <v>208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98</v>
      </c>
      <c r="M92">
        <v>71</v>
      </c>
      <c r="N92">
        <v>60</v>
      </c>
      <c r="Q92" s="4">
        <v>160</v>
      </c>
      <c r="R92" s="10">
        <v>67.900000000000006</v>
      </c>
    </row>
    <row r="93" spans="1:37">
      <c r="A93" s="13" t="s">
        <v>209</v>
      </c>
      <c r="B93" s="14" t="s">
        <v>210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172</v>
      </c>
      <c r="M93">
        <v>74</v>
      </c>
      <c r="N93">
        <v>76</v>
      </c>
      <c r="Q93" s="4">
        <v>161</v>
      </c>
      <c r="R93" s="10">
        <v>56</v>
      </c>
    </row>
    <row r="94" spans="1:37">
      <c r="A94" s="11" t="s">
        <v>211</v>
      </c>
      <c r="B94" s="12" t="s">
        <v>212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150</v>
      </c>
      <c r="M94">
        <v>68</v>
      </c>
      <c r="N94">
        <v>76</v>
      </c>
      <c r="Q94" s="4">
        <v>162</v>
      </c>
      <c r="R94" s="10">
        <v>61.666666666666664</v>
      </c>
    </row>
    <row r="95" spans="1:37">
      <c r="A95" s="13" t="s">
        <v>213</v>
      </c>
      <c r="B95" s="14" t="s">
        <v>39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136</v>
      </c>
      <c r="M95">
        <v>62</v>
      </c>
      <c r="N95">
        <v>53</v>
      </c>
      <c r="Q95" s="4">
        <v>163</v>
      </c>
      <c r="R95" s="10">
        <v>67</v>
      </c>
    </row>
    <row r="96" spans="1:37">
      <c r="A96" s="11" t="s">
        <v>214</v>
      </c>
      <c r="B96" s="12" t="s">
        <v>215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88</v>
      </c>
      <c r="M96">
        <v>53</v>
      </c>
      <c r="N96">
        <v>47</v>
      </c>
      <c r="Q96" s="4">
        <v>164</v>
      </c>
      <c r="R96" s="10">
        <v>58.25</v>
      </c>
    </row>
    <row r="97" spans="1:18">
      <c r="A97" s="13" t="s">
        <v>216</v>
      </c>
      <c r="B97" s="14" t="s">
        <v>217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143</v>
      </c>
      <c r="M97">
        <v>83</v>
      </c>
      <c r="N97">
        <v>44</v>
      </c>
      <c r="Q97" s="4">
        <v>165</v>
      </c>
      <c r="R97" s="10">
        <v>48</v>
      </c>
    </row>
    <row r="98" spans="1:18">
      <c r="A98" s="11" t="s">
        <v>218</v>
      </c>
      <c r="B98" s="12" t="s">
        <v>219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100</v>
      </c>
      <c r="M98">
        <v>49</v>
      </c>
      <c r="N98">
        <v>35</v>
      </c>
      <c r="Q98" s="4">
        <v>166</v>
      </c>
      <c r="R98" s="10">
        <v>60.714285714285715</v>
      </c>
    </row>
    <row r="99" spans="1:18">
      <c r="A99" s="13" t="s">
        <v>220</v>
      </c>
      <c r="B99" s="14" t="s">
        <v>68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143</v>
      </c>
      <c r="M99">
        <v>56</v>
      </c>
      <c r="N99">
        <v>55</v>
      </c>
      <c r="Q99" s="4">
        <v>168</v>
      </c>
      <c r="R99" s="10">
        <v>69</v>
      </c>
    </row>
    <row r="100" spans="1:18">
      <c r="A100" s="11" t="s">
        <v>221</v>
      </c>
      <c r="B100" s="12" t="s">
        <v>219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>
        <v>112</v>
      </c>
      <c r="M100">
        <v>56</v>
      </c>
      <c r="N100">
        <v>66</v>
      </c>
      <c r="Q100" s="4">
        <v>169</v>
      </c>
      <c r="R100" s="10">
        <v>48</v>
      </c>
    </row>
    <row r="101" spans="1:18">
      <c r="A101" s="13" t="s">
        <v>222</v>
      </c>
      <c r="B101" s="14" t="s">
        <v>223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93</v>
      </c>
      <c r="M101">
        <v>62</v>
      </c>
      <c r="N101">
        <v>59</v>
      </c>
      <c r="Q101" s="4">
        <v>170</v>
      </c>
      <c r="R101" s="10">
        <v>60.0625</v>
      </c>
    </row>
    <row r="102" spans="1:18">
      <c r="A102" s="11" t="s">
        <v>224</v>
      </c>
      <c r="B102" s="12" t="s">
        <v>39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206</v>
      </c>
      <c r="M102">
        <v>43</v>
      </c>
      <c r="N102">
        <v>55</v>
      </c>
      <c r="Q102" s="4">
        <v>171</v>
      </c>
      <c r="R102" s="10">
        <v>79.333333333333329</v>
      </c>
    </row>
    <row r="103" spans="1:18">
      <c r="A103" s="13" t="s">
        <v>225</v>
      </c>
      <c r="B103" s="14" t="s">
        <v>226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88</v>
      </c>
      <c r="M103">
        <v>68</v>
      </c>
      <c r="N103">
        <v>71</v>
      </c>
      <c r="Q103" s="4">
        <v>172</v>
      </c>
      <c r="R103" s="10">
        <v>73.142857142857139</v>
      </c>
    </row>
    <row r="104" spans="1:18">
      <c r="A104" s="11" t="s">
        <v>227</v>
      </c>
      <c r="B104" s="12" t="s">
        <v>166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170</v>
      </c>
      <c r="M104">
        <v>50</v>
      </c>
      <c r="N104">
        <v>90</v>
      </c>
      <c r="Q104" s="4">
        <v>173</v>
      </c>
      <c r="R104" s="10">
        <v>49.333333333333336</v>
      </c>
    </row>
    <row r="105" spans="1:18">
      <c r="A105" s="13" t="s">
        <v>228</v>
      </c>
      <c r="B105" s="14" t="s">
        <v>229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>
        <v>84</v>
      </c>
      <c r="M105">
        <v>62</v>
      </c>
      <c r="N105">
        <v>67</v>
      </c>
      <c r="Q105" s="4">
        <v>174</v>
      </c>
      <c r="R105" s="10">
        <v>66.875</v>
      </c>
    </row>
    <row r="106" spans="1:18">
      <c r="A106" s="11" t="s">
        <v>230</v>
      </c>
      <c r="B106" s="12" t="s">
        <v>60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134</v>
      </c>
      <c r="M106">
        <v>81</v>
      </c>
      <c r="N106">
        <v>72</v>
      </c>
      <c r="Q106" s="4">
        <v>175</v>
      </c>
      <c r="R106" s="10">
        <v>49</v>
      </c>
    </row>
    <row r="107" spans="1:18">
      <c r="A107" s="13" t="s">
        <v>231</v>
      </c>
      <c r="B107" s="14" t="s">
        <v>232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158</v>
      </c>
      <c r="M107">
        <v>54</v>
      </c>
      <c r="N107">
        <v>40</v>
      </c>
      <c r="Q107" s="4">
        <v>176</v>
      </c>
      <c r="R107" s="10">
        <v>64.166666666666671</v>
      </c>
    </row>
    <row r="108" spans="1:18">
      <c r="A108" s="11" t="s">
        <v>233</v>
      </c>
      <c r="B108" s="12" t="s">
        <v>234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>
        <v>116</v>
      </c>
      <c r="M108">
        <v>80</v>
      </c>
      <c r="N108">
        <v>80</v>
      </c>
      <c r="Q108" s="4">
        <v>177</v>
      </c>
      <c r="R108" s="10">
        <v>23</v>
      </c>
    </row>
    <row r="109" spans="1:18">
      <c r="A109" s="13" t="s">
        <v>235</v>
      </c>
      <c r="B109" s="14" t="s">
        <v>236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117</v>
      </c>
      <c r="M109">
        <v>61</v>
      </c>
      <c r="N109">
        <v>69</v>
      </c>
      <c r="Q109" s="4">
        <v>178</v>
      </c>
      <c r="R109" s="10">
        <v>73.666666666666671</v>
      </c>
    </row>
    <row r="110" spans="1:18">
      <c r="A110" s="11" t="s">
        <v>237</v>
      </c>
      <c r="B110" s="12" t="s">
        <v>238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114</v>
      </c>
      <c r="M110">
        <v>77</v>
      </c>
      <c r="N110">
        <v>72</v>
      </c>
      <c r="Q110" s="4">
        <v>179</v>
      </c>
      <c r="R110" s="10">
        <v>51</v>
      </c>
    </row>
    <row r="111" spans="1:18">
      <c r="A111" s="13" t="s">
        <v>239</v>
      </c>
      <c r="B111" s="14" t="s">
        <v>240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>
        <v>108</v>
      </c>
      <c r="M111">
        <v>61</v>
      </c>
      <c r="N111">
        <v>68</v>
      </c>
      <c r="Q111" s="4">
        <v>180</v>
      </c>
      <c r="R111" s="10">
        <v>67.545454545454547</v>
      </c>
    </row>
    <row r="112" spans="1:18">
      <c r="A112" s="11" t="s">
        <v>241</v>
      </c>
      <c r="B112" s="12" t="s">
        <v>242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144</v>
      </c>
      <c r="M112">
        <v>74</v>
      </c>
      <c r="N112">
        <v>53</v>
      </c>
      <c r="Q112" s="4">
        <v>181</v>
      </c>
      <c r="R112" s="10">
        <v>60</v>
      </c>
    </row>
    <row r="113" spans="1:18">
      <c r="A113" s="13" t="s">
        <v>243</v>
      </c>
      <c r="B113" s="14" t="s">
        <v>244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130</v>
      </c>
      <c r="M113">
        <v>51</v>
      </c>
      <c r="N113">
        <v>44</v>
      </c>
      <c r="Q113" s="4">
        <v>182</v>
      </c>
      <c r="R113" s="10">
        <v>59</v>
      </c>
    </row>
    <row r="114" spans="1:18">
      <c r="A114" s="11" t="s">
        <v>245</v>
      </c>
      <c r="B114" s="12" t="s">
        <v>246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116</v>
      </c>
      <c r="M114">
        <v>77</v>
      </c>
      <c r="N114">
        <v>62</v>
      </c>
      <c r="Q114" s="4">
        <v>183</v>
      </c>
      <c r="R114" s="10">
        <v>69.5</v>
      </c>
    </row>
    <row r="115" spans="1:18">
      <c r="A115" s="13" t="s">
        <v>247</v>
      </c>
      <c r="B115" s="14" t="s">
        <v>39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121</v>
      </c>
      <c r="M115">
        <v>65</v>
      </c>
      <c r="N115">
        <v>78</v>
      </c>
      <c r="Q115" s="4">
        <v>184</v>
      </c>
      <c r="R115" s="10">
        <v>63</v>
      </c>
    </row>
    <row r="116" spans="1:18">
      <c r="A116" s="11" t="s">
        <v>248</v>
      </c>
      <c r="B116" s="12" t="s">
        <v>249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>
        <v>112</v>
      </c>
      <c r="M116">
        <v>64</v>
      </c>
      <c r="N116">
        <v>81</v>
      </c>
      <c r="Q116" s="4">
        <v>186</v>
      </c>
      <c r="R116" s="10">
        <v>60</v>
      </c>
    </row>
    <row r="117" spans="1:18">
      <c r="A117" s="13" t="s">
        <v>250</v>
      </c>
      <c r="B117" s="14" t="s">
        <v>251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100</v>
      </c>
      <c r="M117">
        <v>70</v>
      </c>
      <c r="N117">
        <v>52</v>
      </c>
      <c r="Q117" s="4">
        <v>188</v>
      </c>
      <c r="R117" s="10">
        <v>50</v>
      </c>
    </row>
    <row r="118" spans="1:18">
      <c r="A118" s="11" t="s">
        <v>252</v>
      </c>
      <c r="B118" s="12" t="s">
        <v>253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150</v>
      </c>
      <c r="M118">
        <v>55</v>
      </c>
      <c r="N118">
        <v>78</v>
      </c>
      <c r="Q118" s="4">
        <v>189</v>
      </c>
      <c r="R118" s="10">
        <v>44</v>
      </c>
    </row>
    <row r="119" spans="1:18">
      <c r="A119" s="13" t="s">
        <v>254</v>
      </c>
      <c r="B119" s="14" t="s">
        <v>255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120</v>
      </c>
      <c r="M119">
        <v>84</v>
      </c>
      <c r="N119">
        <v>71</v>
      </c>
      <c r="Q119" s="4">
        <v>192</v>
      </c>
      <c r="R119" s="10">
        <v>52</v>
      </c>
    </row>
    <row r="120" spans="1:18">
      <c r="A120" s="11" t="s">
        <v>256</v>
      </c>
      <c r="B120" s="12" t="s">
        <v>257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127</v>
      </c>
      <c r="M120">
        <v>82</v>
      </c>
      <c r="N120">
        <v>85</v>
      </c>
      <c r="Q120" s="4">
        <v>196</v>
      </c>
      <c r="R120" s="10">
        <v>79</v>
      </c>
    </row>
    <row r="121" spans="1:18">
      <c r="A121" s="13" t="s">
        <v>258</v>
      </c>
      <c r="B121" s="14" t="s">
        <v>39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90</v>
      </c>
      <c r="M121">
        <v>51</v>
      </c>
      <c r="N121">
        <v>61</v>
      </c>
      <c r="Q121" s="4">
        <v>198</v>
      </c>
      <c r="R121" s="10">
        <v>42</v>
      </c>
    </row>
    <row r="122" spans="1:18">
      <c r="A122" s="11" t="s">
        <v>259</v>
      </c>
      <c r="B122" s="12" t="s">
        <v>113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128</v>
      </c>
      <c r="M122">
        <v>75</v>
      </c>
      <c r="N122">
        <v>63</v>
      </c>
      <c r="Q122" s="4">
        <v>200</v>
      </c>
      <c r="R122" s="10">
        <v>77</v>
      </c>
    </row>
    <row r="123" spans="1:18">
      <c r="A123" s="13" t="s">
        <v>260</v>
      </c>
      <c r="B123" s="14" t="s">
        <v>261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143</v>
      </c>
      <c r="M123">
        <v>64</v>
      </c>
      <c r="N123">
        <v>87</v>
      </c>
      <c r="Q123" s="4">
        <v>202</v>
      </c>
      <c r="R123" s="10">
        <v>55.5</v>
      </c>
    </row>
    <row r="124" spans="1:18">
      <c r="A124" s="11" t="s">
        <v>262</v>
      </c>
      <c r="B124" s="12" t="s">
        <v>263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139</v>
      </c>
      <c r="M124">
        <v>74</v>
      </c>
      <c r="N124">
        <v>68</v>
      </c>
      <c r="Q124" s="4">
        <v>204</v>
      </c>
      <c r="R124" s="10">
        <v>68</v>
      </c>
    </row>
    <row r="125" spans="1:18">
      <c r="A125" s="13" t="s">
        <v>264</v>
      </c>
      <c r="B125" s="14" t="s">
        <v>265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162</v>
      </c>
      <c r="M125">
        <v>49</v>
      </c>
      <c r="N125">
        <v>64</v>
      </c>
      <c r="Q125" s="4">
        <v>206</v>
      </c>
      <c r="R125" s="10">
        <v>50</v>
      </c>
    </row>
    <row r="126" spans="1:18">
      <c r="A126" s="11" t="s">
        <v>266</v>
      </c>
      <c r="B126" s="12" t="s">
        <v>267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92</v>
      </c>
      <c r="M126">
        <v>81</v>
      </c>
      <c r="N126">
        <v>60</v>
      </c>
      <c r="Q126" s="4" t="s">
        <v>136</v>
      </c>
      <c r="R126" s="10">
        <v>64.279118572927601</v>
      </c>
    </row>
    <row r="127" spans="1:18">
      <c r="A127" s="13" t="s">
        <v>268</v>
      </c>
      <c r="B127" s="14" t="s">
        <v>269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95</v>
      </c>
      <c r="M127">
        <v>87</v>
      </c>
      <c r="N127">
        <v>55</v>
      </c>
    </row>
    <row r="128" spans="1:18">
      <c r="A128" s="11" t="s">
        <v>270</v>
      </c>
      <c r="B128" s="12" t="s">
        <v>271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>
        <v>146</v>
      </c>
      <c r="M128">
        <v>63</v>
      </c>
      <c r="N128">
        <v>93</v>
      </c>
    </row>
    <row r="129" spans="1:14">
      <c r="A129" s="13" t="s">
        <v>272</v>
      </c>
      <c r="B129" s="14" t="s">
        <v>66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>
        <v>95</v>
      </c>
      <c r="M129">
        <v>55</v>
      </c>
      <c r="N129">
        <v>82</v>
      </c>
    </row>
    <row r="130" spans="1:14">
      <c r="A130" s="11" t="s">
        <v>273</v>
      </c>
      <c r="B130" s="12" t="s">
        <v>274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>
        <v>115</v>
      </c>
      <c r="M130">
        <v>35</v>
      </c>
      <c r="N130">
        <v>30</v>
      </c>
    </row>
    <row r="131" spans="1:14">
      <c r="A131" s="13" t="s">
        <v>275</v>
      </c>
      <c r="B131" s="14" t="s">
        <v>169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128</v>
      </c>
      <c r="M131">
        <v>78</v>
      </c>
      <c r="N131">
        <v>65</v>
      </c>
    </row>
    <row r="132" spans="1:14">
      <c r="A132" s="11" t="s">
        <v>276</v>
      </c>
      <c r="B132" s="12" t="s">
        <v>277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130</v>
      </c>
      <c r="M132">
        <v>82</v>
      </c>
      <c r="N132">
        <v>83</v>
      </c>
    </row>
    <row r="133" spans="1:14">
      <c r="A133" s="13" t="s">
        <v>278</v>
      </c>
      <c r="B133" s="14" t="s">
        <v>60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127</v>
      </c>
      <c r="M133">
        <v>80</v>
      </c>
      <c r="N133">
        <v>77</v>
      </c>
    </row>
    <row r="134" spans="1:14">
      <c r="A134" s="11" t="s">
        <v>279</v>
      </c>
      <c r="B134" s="12" t="s">
        <v>219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150</v>
      </c>
      <c r="M134">
        <v>42</v>
      </c>
      <c r="N134">
        <v>86</v>
      </c>
    </row>
    <row r="135" spans="1:14">
      <c r="A135" s="13" t="s">
        <v>280</v>
      </c>
      <c r="B135" s="14" t="s">
        <v>281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122</v>
      </c>
      <c r="M135">
        <v>78</v>
      </c>
      <c r="N135">
        <v>63</v>
      </c>
    </row>
    <row r="136" spans="1:14">
      <c r="A136" s="11">
        <v>505</v>
      </c>
      <c r="B136" s="12" t="s">
        <v>81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140</v>
      </c>
      <c r="M136">
        <v>52</v>
      </c>
      <c r="N136">
        <v>85</v>
      </c>
    </row>
    <row r="137" spans="1:14">
      <c r="A137" s="13" t="s">
        <v>282</v>
      </c>
      <c r="B137" s="14" t="s">
        <v>283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140</v>
      </c>
      <c r="M137">
        <v>63</v>
      </c>
      <c r="N137">
        <v>54</v>
      </c>
    </row>
    <row r="138" spans="1:14">
      <c r="A138" s="11" t="s">
        <v>284</v>
      </c>
      <c r="B138" s="12" t="s">
        <v>285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119</v>
      </c>
      <c r="M138">
        <v>75</v>
      </c>
      <c r="N138">
        <v>53</v>
      </c>
    </row>
    <row r="139" spans="1:14">
      <c r="A139" s="13" t="s">
        <v>286</v>
      </c>
      <c r="B139" s="14" t="s">
        <v>287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110</v>
      </c>
      <c r="M139">
        <v>76</v>
      </c>
      <c r="N139">
        <v>72</v>
      </c>
    </row>
    <row r="140" spans="1:14">
      <c r="A140" s="11" t="s">
        <v>288</v>
      </c>
      <c r="B140" s="12" t="s">
        <v>289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>
        <v>95</v>
      </c>
      <c r="M140">
        <v>60</v>
      </c>
      <c r="N140">
        <v>45</v>
      </c>
    </row>
    <row r="141" spans="1:14">
      <c r="A141" s="13" t="s">
        <v>290</v>
      </c>
      <c r="B141" s="14" t="s">
        <v>181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132</v>
      </c>
      <c r="M141">
        <v>56</v>
      </c>
      <c r="N141">
        <v>55</v>
      </c>
    </row>
    <row r="142" spans="1:14">
      <c r="A142" s="11" t="s">
        <v>291</v>
      </c>
      <c r="B142" s="12" t="s">
        <v>238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>
        <v>125</v>
      </c>
      <c r="M142">
        <v>77</v>
      </c>
      <c r="N142">
        <v>78</v>
      </c>
    </row>
    <row r="143" spans="1:14">
      <c r="A143" s="13" t="s">
        <v>292</v>
      </c>
      <c r="B143" s="14" t="s">
        <v>293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124</v>
      </c>
      <c r="M143">
        <v>84</v>
      </c>
      <c r="N143">
        <v>50</v>
      </c>
    </row>
    <row r="144" spans="1:14">
      <c r="A144" s="11" t="s">
        <v>294</v>
      </c>
      <c r="B144" s="12" t="s">
        <v>295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133</v>
      </c>
      <c r="M144">
        <v>93</v>
      </c>
      <c r="N144">
        <v>65</v>
      </c>
    </row>
    <row r="145" spans="1:14">
      <c r="A145" s="13" t="s">
        <v>296</v>
      </c>
      <c r="B145" s="14" t="s">
        <v>229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>
        <v>112</v>
      </c>
      <c r="M145">
        <v>92</v>
      </c>
      <c r="N145">
        <v>66</v>
      </c>
    </row>
    <row r="146" spans="1:14">
      <c r="A146" s="11" t="s">
        <v>297</v>
      </c>
      <c r="B146" s="12" t="s">
        <v>298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97</v>
      </c>
      <c r="M146">
        <v>79</v>
      </c>
      <c r="N146">
        <v>89</v>
      </c>
    </row>
    <row r="147" spans="1:14">
      <c r="A147" s="13" t="s">
        <v>299</v>
      </c>
      <c r="B147" s="14" t="s">
        <v>300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90</v>
      </c>
      <c r="M147">
        <v>59</v>
      </c>
      <c r="N147">
        <v>48</v>
      </c>
    </row>
    <row r="148" spans="1:14">
      <c r="A148" s="11" t="s">
        <v>301</v>
      </c>
      <c r="B148" s="12" t="s">
        <v>302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80</v>
      </c>
      <c r="M148">
        <v>65</v>
      </c>
      <c r="N148">
        <v>69</v>
      </c>
    </row>
    <row r="149" spans="1:14">
      <c r="A149" s="13" t="s">
        <v>303</v>
      </c>
      <c r="B149" s="14" t="s">
        <v>304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>
        <v>172</v>
      </c>
      <c r="M149">
        <v>45</v>
      </c>
      <c r="N149">
        <v>59</v>
      </c>
    </row>
    <row r="150" spans="1:14">
      <c r="A150" s="11" t="s">
        <v>305</v>
      </c>
      <c r="B150" s="12" t="s">
        <v>306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120</v>
      </c>
      <c r="M150">
        <v>60</v>
      </c>
      <c r="N150">
        <v>35</v>
      </c>
    </row>
    <row r="151" spans="1:14">
      <c r="A151" s="13" t="s">
        <v>307</v>
      </c>
      <c r="B151" s="14" t="s">
        <v>308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140</v>
      </c>
      <c r="M151">
        <v>74</v>
      </c>
      <c r="N151">
        <v>80</v>
      </c>
    </row>
    <row r="152" spans="1:14">
      <c r="A152" s="11" t="s">
        <v>309</v>
      </c>
      <c r="B152" s="12" t="s">
        <v>310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128</v>
      </c>
      <c r="M152">
        <v>81</v>
      </c>
      <c r="N152">
        <v>77</v>
      </c>
    </row>
    <row r="153" spans="1:14">
      <c r="A153" s="13" t="s">
        <v>311</v>
      </c>
      <c r="B153" s="14" t="s">
        <v>267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122</v>
      </c>
      <c r="M153">
        <v>78</v>
      </c>
      <c r="N153">
        <v>81</v>
      </c>
    </row>
    <row r="154" spans="1:14">
      <c r="A154" s="11" t="s">
        <v>312</v>
      </c>
      <c r="B154" s="12" t="s">
        <v>313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130</v>
      </c>
      <c r="M154">
        <v>47</v>
      </c>
      <c r="N154">
        <v>92</v>
      </c>
    </row>
    <row r="155" spans="1:14">
      <c r="A155" s="13" t="s">
        <v>314</v>
      </c>
      <c r="B155" s="14" t="s">
        <v>315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160</v>
      </c>
      <c r="M155">
        <v>69</v>
      </c>
      <c r="N155">
        <v>71</v>
      </c>
    </row>
    <row r="156" spans="1:14">
      <c r="A156" s="11" t="s">
        <v>316</v>
      </c>
      <c r="B156" s="12" t="s">
        <v>317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144</v>
      </c>
      <c r="M156">
        <v>73</v>
      </c>
      <c r="N156">
        <v>70</v>
      </c>
    </row>
    <row r="157" spans="1:14">
      <c r="A157" s="13" t="s">
        <v>318</v>
      </c>
      <c r="B157" s="14" t="s">
        <v>319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192</v>
      </c>
      <c r="M157">
        <v>50</v>
      </c>
      <c r="N157">
        <v>52</v>
      </c>
    </row>
    <row r="158" spans="1:14">
      <c r="A158" s="11" t="s">
        <v>320</v>
      </c>
      <c r="B158" s="12" t="s">
        <v>321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163</v>
      </c>
      <c r="M158">
        <v>54</v>
      </c>
      <c r="N158">
        <v>67</v>
      </c>
    </row>
    <row r="159" spans="1:14">
      <c r="A159" s="13" t="s">
        <v>322</v>
      </c>
      <c r="B159" s="14" t="s">
        <v>124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>
        <v>122</v>
      </c>
      <c r="M159">
        <v>66</v>
      </c>
      <c r="N159">
        <v>71</v>
      </c>
    </row>
    <row r="160" spans="1:14">
      <c r="A160" s="11" t="s">
        <v>323</v>
      </c>
      <c r="B160" s="12" t="s">
        <v>324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154</v>
      </c>
      <c r="M160">
        <v>61</v>
      </c>
      <c r="N160">
        <v>74</v>
      </c>
    </row>
    <row r="161" spans="1:14">
      <c r="A161" s="13" t="s">
        <v>325</v>
      </c>
      <c r="B161" s="14" t="s">
        <v>326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117</v>
      </c>
      <c r="M161">
        <v>73</v>
      </c>
      <c r="N161">
        <v>69</v>
      </c>
    </row>
    <row r="162" spans="1:14">
      <c r="A162" s="11" t="s">
        <v>327</v>
      </c>
      <c r="B162" s="12" t="s">
        <v>328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138</v>
      </c>
      <c r="M162">
        <v>78</v>
      </c>
      <c r="N162">
        <v>83</v>
      </c>
    </row>
    <row r="163" spans="1:14">
      <c r="A163" s="13" t="s">
        <v>329</v>
      </c>
      <c r="B163" s="14" t="s">
        <v>330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96</v>
      </c>
      <c r="M163">
        <v>86</v>
      </c>
      <c r="N163">
        <v>80</v>
      </c>
    </row>
    <row r="164" spans="1:14">
      <c r="A164" s="11" t="s">
        <v>331</v>
      </c>
      <c r="B164" s="12" t="s">
        <v>332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>
        <v>104</v>
      </c>
      <c r="M164">
        <v>77</v>
      </c>
      <c r="N164">
        <v>63</v>
      </c>
    </row>
    <row r="165" spans="1:14">
      <c r="A165" s="13" t="s">
        <v>333</v>
      </c>
      <c r="B165" s="14" t="s">
        <v>39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164</v>
      </c>
      <c r="M165">
        <v>45</v>
      </c>
      <c r="N165">
        <v>62</v>
      </c>
    </row>
    <row r="166" spans="1:14">
      <c r="A166" s="11" t="s">
        <v>334</v>
      </c>
      <c r="B166" s="12" t="s">
        <v>126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118</v>
      </c>
      <c r="M166">
        <v>68</v>
      </c>
      <c r="N166">
        <v>82</v>
      </c>
    </row>
    <row r="167" spans="1:14">
      <c r="A167" s="13" t="s">
        <v>335</v>
      </c>
      <c r="B167" s="14" t="s">
        <v>336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81</v>
      </c>
      <c r="M167">
        <v>68</v>
      </c>
      <c r="N167">
        <v>60</v>
      </c>
    </row>
    <row r="168" spans="1:14">
      <c r="A168" s="11" t="s">
        <v>337</v>
      </c>
      <c r="B168" s="12" t="s">
        <v>338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117</v>
      </c>
      <c r="M168">
        <v>82</v>
      </c>
      <c r="N168">
        <v>45</v>
      </c>
    </row>
    <row r="169" spans="1:14">
      <c r="A169" s="13" t="s">
        <v>339</v>
      </c>
      <c r="B169" s="14" t="s">
        <v>340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174</v>
      </c>
      <c r="M169">
        <v>45</v>
      </c>
      <c r="N169">
        <v>37</v>
      </c>
    </row>
    <row r="170" spans="1:14">
      <c r="A170" s="11" t="s">
        <v>341</v>
      </c>
      <c r="B170" s="12" t="s">
        <v>342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>
        <v>128</v>
      </c>
      <c r="M170">
        <v>73</v>
      </c>
      <c r="N170">
        <v>77</v>
      </c>
    </row>
    <row r="171" spans="1:14">
      <c r="A171" s="13" t="s">
        <v>343</v>
      </c>
      <c r="B171" s="14" t="s">
        <v>317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145</v>
      </c>
      <c r="M171">
        <v>60</v>
      </c>
      <c r="N171">
        <v>27</v>
      </c>
    </row>
    <row r="172" spans="1:14">
      <c r="A172" s="11" t="s">
        <v>344</v>
      </c>
      <c r="B172" s="12" t="s">
        <v>345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150</v>
      </c>
      <c r="M172">
        <v>65</v>
      </c>
      <c r="N172">
        <v>55</v>
      </c>
    </row>
    <row r="173" spans="1:14">
      <c r="A173" s="13" t="s">
        <v>346</v>
      </c>
      <c r="B173" s="14" t="s">
        <v>347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90</v>
      </c>
      <c r="M173">
        <v>60</v>
      </c>
      <c r="N173">
        <v>53</v>
      </c>
    </row>
    <row r="174" spans="1:14">
      <c r="A174" s="11" t="s">
        <v>348</v>
      </c>
      <c r="B174" s="12" t="s">
        <v>81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>
        <v>85</v>
      </c>
      <c r="M174">
        <v>55</v>
      </c>
      <c r="N174">
        <v>53</v>
      </c>
    </row>
    <row r="175" spans="1:14">
      <c r="A175" s="13" t="s">
        <v>349</v>
      </c>
      <c r="B175" s="14" t="s">
        <v>238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>
        <v>180</v>
      </c>
      <c r="M175">
        <v>33</v>
      </c>
      <c r="N175">
        <v>71</v>
      </c>
    </row>
    <row r="176" spans="1:14">
      <c r="A176" s="11" t="s">
        <v>350</v>
      </c>
      <c r="B176" s="12" t="s">
        <v>351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166</v>
      </c>
      <c r="M176">
        <v>57</v>
      </c>
      <c r="N176">
        <v>94</v>
      </c>
    </row>
    <row r="177" spans="1:14">
      <c r="A177" s="13" t="s">
        <v>352</v>
      </c>
      <c r="B177" s="14" t="s">
        <v>126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160</v>
      </c>
      <c r="M177">
        <v>71</v>
      </c>
      <c r="N177">
        <v>50</v>
      </c>
    </row>
    <row r="178" spans="1:14">
      <c r="A178" s="11" t="s">
        <v>353</v>
      </c>
      <c r="B178" s="12" t="s">
        <v>39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>
        <v>160</v>
      </c>
      <c r="M178">
        <v>65</v>
      </c>
      <c r="N178">
        <v>80</v>
      </c>
    </row>
    <row r="179" spans="1:14">
      <c r="A179" s="13" t="s">
        <v>354</v>
      </c>
      <c r="B179" s="14" t="s">
        <v>81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>
        <v>92</v>
      </c>
      <c r="M179">
        <v>70</v>
      </c>
      <c r="N179">
        <v>63</v>
      </c>
    </row>
    <row r="180" spans="1:14">
      <c r="A180" s="11" t="s">
        <v>355</v>
      </c>
      <c r="B180" s="12" t="s">
        <v>356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170</v>
      </c>
      <c r="M180">
        <v>56</v>
      </c>
      <c r="N180">
        <v>64</v>
      </c>
    </row>
    <row r="181" spans="1:14">
      <c r="A181" s="13" t="s">
        <v>357</v>
      </c>
      <c r="B181" s="14" t="s">
        <v>289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>
        <v>96</v>
      </c>
      <c r="M181">
        <v>83</v>
      </c>
      <c r="N181">
        <v>65</v>
      </c>
    </row>
    <row r="182" spans="1:14">
      <c r="A182" s="11" t="s">
        <v>358</v>
      </c>
      <c r="B182" s="12" t="s">
        <v>359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120</v>
      </c>
      <c r="M182">
        <v>67</v>
      </c>
      <c r="N182">
        <v>52</v>
      </c>
    </row>
    <row r="183" spans="1:14">
      <c r="A183" s="13" t="s">
        <v>360</v>
      </c>
      <c r="B183" s="14" t="s">
        <v>361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98</v>
      </c>
      <c r="M183">
        <v>70</v>
      </c>
      <c r="N183">
        <v>54</v>
      </c>
    </row>
    <row r="184" spans="1:14">
      <c r="A184" s="11" t="s">
        <v>362</v>
      </c>
      <c r="B184" s="12" t="s">
        <v>363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>
        <v>92</v>
      </c>
      <c r="M184">
        <v>53</v>
      </c>
      <c r="N184">
        <v>34</v>
      </c>
    </row>
    <row r="185" spans="1:14">
      <c r="A185" s="13" t="s">
        <v>364</v>
      </c>
      <c r="B185" s="14" t="s">
        <v>365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150</v>
      </c>
      <c r="M185">
        <v>34</v>
      </c>
      <c r="N185">
        <v>56</v>
      </c>
    </row>
    <row r="186" spans="1:14">
      <c r="A186" s="11" t="s">
        <v>366</v>
      </c>
      <c r="B186" s="12" t="s">
        <v>367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94</v>
      </c>
      <c r="M186">
        <v>37</v>
      </c>
      <c r="N186">
        <v>47</v>
      </c>
    </row>
    <row r="187" spans="1:14">
      <c r="A187" s="13" t="s">
        <v>368</v>
      </c>
      <c r="B187" s="14" t="s">
        <v>369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90</v>
      </c>
      <c r="M187">
        <v>74</v>
      </c>
      <c r="N187">
        <v>63</v>
      </c>
    </row>
    <row r="188" spans="1:14">
      <c r="A188" s="11" t="s">
        <v>370</v>
      </c>
      <c r="B188" s="12" t="s">
        <v>371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160</v>
      </c>
      <c r="M188">
        <v>54</v>
      </c>
      <c r="N188">
        <v>55</v>
      </c>
    </row>
    <row r="189" spans="1:14">
      <c r="A189" s="13" t="s">
        <v>372</v>
      </c>
      <c r="B189" s="14" t="s">
        <v>166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120</v>
      </c>
      <c r="M189">
        <v>70</v>
      </c>
      <c r="N189">
        <v>75</v>
      </c>
    </row>
    <row r="190" spans="1:14">
      <c r="A190" s="11" t="s">
        <v>373</v>
      </c>
      <c r="B190" s="12" t="s">
        <v>317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>
        <v>109</v>
      </c>
      <c r="M190">
        <v>63</v>
      </c>
      <c r="N190">
        <v>85</v>
      </c>
    </row>
    <row r="191" spans="1:14">
      <c r="A191" s="13" t="s">
        <v>374</v>
      </c>
      <c r="B191" s="14" t="s">
        <v>375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>
        <v>129</v>
      </c>
      <c r="M191">
        <v>57</v>
      </c>
      <c r="N191">
        <v>66</v>
      </c>
    </row>
    <row r="192" spans="1:14">
      <c r="A192" s="11" t="s">
        <v>376</v>
      </c>
      <c r="B192" s="12" t="s">
        <v>377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157</v>
      </c>
      <c r="M192">
        <v>54</v>
      </c>
      <c r="N192">
        <v>60</v>
      </c>
    </row>
    <row r="193" spans="1:14">
      <c r="A193" s="13" t="s">
        <v>378</v>
      </c>
      <c r="B193" s="14" t="s">
        <v>39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130</v>
      </c>
      <c r="M193">
        <v>63</v>
      </c>
      <c r="N193">
        <v>73</v>
      </c>
    </row>
    <row r="194" spans="1:14">
      <c r="A194" s="11" t="s">
        <v>379</v>
      </c>
      <c r="B194" s="12" t="s">
        <v>42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107</v>
      </c>
      <c r="M194">
        <v>65</v>
      </c>
      <c r="N194">
        <v>72</v>
      </c>
    </row>
    <row r="195" spans="1:14">
      <c r="A195" s="13" t="s">
        <v>380</v>
      </c>
      <c r="B195" s="14" t="s">
        <v>39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146</v>
      </c>
      <c r="M195">
        <v>50</v>
      </c>
      <c r="N195">
        <v>89</v>
      </c>
    </row>
    <row r="196" spans="1:14">
      <c r="A196" s="11" t="s">
        <v>381</v>
      </c>
      <c r="B196" s="12" t="s">
        <v>382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139</v>
      </c>
      <c r="M196">
        <v>48</v>
      </c>
      <c r="N196">
        <v>41</v>
      </c>
    </row>
    <row r="197" spans="1:14">
      <c r="A197" s="13" t="s">
        <v>383</v>
      </c>
      <c r="B197" s="14" t="s">
        <v>384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116</v>
      </c>
      <c r="M197">
        <v>74</v>
      </c>
      <c r="N197">
        <v>70</v>
      </c>
    </row>
    <row r="198" spans="1:14">
      <c r="A198" s="11" t="s">
        <v>385</v>
      </c>
      <c r="B198" s="12" t="s">
        <v>386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95</v>
      </c>
      <c r="M198">
        <v>84</v>
      </c>
      <c r="N198">
        <v>77</v>
      </c>
    </row>
    <row r="199" spans="1:14">
      <c r="A199" s="13" t="s">
        <v>387</v>
      </c>
      <c r="B199" s="14" t="s">
        <v>388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170</v>
      </c>
      <c r="M199">
        <v>62</v>
      </c>
      <c r="N199">
        <v>80</v>
      </c>
    </row>
    <row r="200" spans="1:14">
      <c r="A200" s="11" t="s">
        <v>389</v>
      </c>
      <c r="B200" s="12" t="s">
        <v>60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134</v>
      </c>
      <c r="M200">
        <v>81</v>
      </c>
      <c r="N200">
        <v>64</v>
      </c>
    </row>
    <row r="201" spans="1:14">
      <c r="A201" s="13" t="s">
        <v>390</v>
      </c>
      <c r="B201" s="14" t="s">
        <v>391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>
        <v>84</v>
      </c>
      <c r="M201">
        <v>57</v>
      </c>
      <c r="N201">
        <v>90</v>
      </c>
    </row>
    <row r="202" spans="1:14">
      <c r="A202" s="11" t="s">
        <v>392</v>
      </c>
      <c r="B202" s="12" t="s">
        <v>393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146</v>
      </c>
      <c r="M202">
        <v>61</v>
      </c>
      <c r="N202">
        <v>48</v>
      </c>
    </row>
    <row r="203" spans="1:14">
      <c r="A203" s="13" t="s">
        <v>394</v>
      </c>
      <c r="B203" s="14" t="s">
        <v>395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74</v>
      </c>
      <c r="M203">
        <v>53</v>
      </c>
      <c r="N203">
        <v>67</v>
      </c>
    </row>
    <row r="204" spans="1:14">
      <c r="A204" s="11" t="s">
        <v>396</v>
      </c>
      <c r="B204" s="12" t="s">
        <v>397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144</v>
      </c>
      <c r="M204">
        <v>75</v>
      </c>
      <c r="N204">
        <v>48</v>
      </c>
    </row>
    <row r="205" spans="1:14">
      <c r="A205" s="13" t="s">
        <v>398</v>
      </c>
      <c r="B205" s="14" t="s">
        <v>399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136</v>
      </c>
      <c r="M205">
        <v>77</v>
      </c>
      <c r="N205">
        <v>73</v>
      </c>
    </row>
    <row r="206" spans="1:14">
      <c r="A206" s="11" t="s">
        <v>400</v>
      </c>
      <c r="B206" s="12" t="s">
        <v>401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100</v>
      </c>
      <c r="M206">
        <v>56</v>
      </c>
      <c r="N206">
        <v>55</v>
      </c>
    </row>
    <row r="207" spans="1:14">
      <c r="A207" s="13" t="s">
        <v>402</v>
      </c>
      <c r="B207" s="14" t="s">
        <v>403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105</v>
      </c>
      <c r="M207">
        <v>89</v>
      </c>
      <c r="N207">
        <v>78</v>
      </c>
    </row>
    <row r="208" spans="1:14">
      <c r="A208" s="11" t="s">
        <v>404</v>
      </c>
      <c r="B208" s="12" t="s">
        <v>39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106</v>
      </c>
      <c r="M208">
        <v>67</v>
      </c>
      <c r="N208">
        <v>78</v>
      </c>
    </row>
    <row r="209" spans="1:14">
      <c r="A209" s="13" t="s">
        <v>405</v>
      </c>
      <c r="B209" s="14" t="s">
        <v>406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132</v>
      </c>
      <c r="M209">
        <v>85</v>
      </c>
      <c r="N209">
        <v>68</v>
      </c>
    </row>
    <row r="210" spans="1:14">
      <c r="A210" s="11" t="s">
        <v>407</v>
      </c>
      <c r="B210" s="12" t="s">
        <v>408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120</v>
      </c>
      <c r="M210">
        <v>78</v>
      </c>
      <c r="N210">
        <v>30</v>
      </c>
    </row>
    <row r="211" spans="1:14">
      <c r="A211" s="13" t="s">
        <v>409</v>
      </c>
      <c r="B211" s="14" t="s">
        <v>410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155</v>
      </c>
      <c r="M211">
        <v>82</v>
      </c>
      <c r="N211">
        <v>39</v>
      </c>
    </row>
    <row r="212" spans="1:14">
      <c r="A212" s="11" t="s">
        <v>411</v>
      </c>
      <c r="B212" s="12" t="s">
        <v>412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129</v>
      </c>
      <c r="M212">
        <v>70</v>
      </c>
      <c r="N212">
        <v>43</v>
      </c>
    </row>
    <row r="213" spans="1:14">
      <c r="A213" s="13" t="s">
        <v>413</v>
      </c>
      <c r="B213" s="14" t="s">
        <v>414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135</v>
      </c>
      <c r="M213">
        <v>80</v>
      </c>
      <c r="N213">
        <v>74</v>
      </c>
    </row>
    <row r="214" spans="1:14">
      <c r="A214" s="11" t="s">
        <v>415</v>
      </c>
      <c r="B214" s="17" t="s">
        <v>416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98</v>
      </c>
      <c r="M214">
        <v>73</v>
      </c>
      <c r="N214">
        <v>62</v>
      </c>
    </row>
    <row r="215" spans="1:14">
      <c r="A215" s="13" t="s">
        <v>417</v>
      </c>
      <c r="B215" s="14" t="s">
        <v>418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124</v>
      </c>
      <c r="M215">
        <v>84</v>
      </c>
      <c r="N215">
        <v>39</v>
      </c>
    </row>
    <row r="216" spans="1:14">
      <c r="A216" s="11" t="s">
        <v>419</v>
      </c>
      <c r="B216" s="12" t="s">
        <v>420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135</v>
      </c>
      <c r="M216">
        <v>77</v>
      </c>
      <c r="N216">
        <v>55</v>
      </c>
    </row>
    <row r="217" spans="1:14">
      <c r="A217" s="13" t="s">
        <v>421</v>
      </c>
      <c r="B217" s="14" t="s">
        <v>289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78</v>
      </c>
      <c r="N217">
        <v>53</v>
      </c>
    </row>
    <row r="218" spans="1:14">
      <c r="A218" s="11" t="s">
        <v>422</v>
      </c>
      <c r="B218" s="12" t="s">
        <v>423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96</v>
      </c>
      <c r="M218">
        <v>54</v>
      </c>
      <c r="N218">
        <v>74</v>
      </c>
    </row>
    <row r="219" spans="1:14">
      <c r="A219" s="13" t="s">
        <v>424</v>
      </c>
      <c r="B219" s="14" t="s">
        <v>425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123</v>
      </c>
      <c r="M219">
        <v>71</v>
      </c>
      <c r="N219">
        <v>70</v>
      </c>
    </row>
    <row r="220" spans="1:14">
      <c r="A220" s="11" t="s">
        <v>426</v>
      </c>
      <c r="B220" s="12" t="s">
        <v>427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90</v>
      </c>
      <c r="M220">
        <v>62</v>
      </c>
      <c r="N220">
        <v>62</v>
      </c>
    </row>
    <row r="221" spans="1:14">
      <c r="A221" s="13" t="s">
        <v>428</v>
      </c>
      <c r="B221" s="14" t="s">
        <v>429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117</v>
      </c>
      <c r="M221">
        <v>72</v>
      </c>
      <c r="N221">
        <v>59</v>
      </c>
    </row>
    <row r="222" spans="1:14">
      <c r="A222" s="11" t="s">
        <v>430</v>
      </c>
      <c r="B222" s="12" t="s">
        <v>431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133</v>
      </c>
      <c r="M222">
        <v>78</v>
      </c>
      <c r="N222">
        <v>84</v>
      </c>
    </row>
    <row r="223" spans="1:14">
      <c r="A223" s="13" t="s">
        <v>432</v>
      </c>
      <c r="B223" s="14" t="s">
        <v>269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96</v>
      </c>
      <c r="M223">
        <v>74</v>
      </c>
      <c r="N223">
        <v>83</v>
      </c>
    </row>
    <row r="224" spans="1:14">
      <c r="A224" s="11" t="s">
        <v>433</v>
      </c>
      <c r="B224" s="12" t="s">
        <v>434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149</v>
      </c>
      <c r="M224">
        <v>66</v>
      </c>
      <c r="N224">
        <v>60</v>
      </c>
    </row>
    <row r="225" spans="1:14">
      <c r="A225" s="13" t="s">
        <v>435</v>
      </c>
      <c r="B225" s="14" t="s">
        <v>436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110</v>
      </c>
      <c r="M225">
        <v>66</v>
      </c>
      <c r="N225">
        <v>40</v>
      </c>
    </row>
    <row r="226" spans="1:14">
      <c r="A226" s="11" t="s">
        <v>437</v>
      </c>
      <c r="B226" s="12" t="s">
        <v>438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105</v>
      </c>
      <c r="M226">
        <v>95</v>
      </c>
      <c r="N226">
        <v>52</v>
      </c>
    </row>
    <row r="227" spans="1:14">
      <c r="A227" s="13" t="s">
        <v>439</v>
      </c>
      <c r="B227" s="14" t="s">
        <v>440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105</v>
      </c>
      <c r="M227">
        <v>80</v>
      </c>
      <c r="N227">
        <v>78</v>
      </c>
    </row>
    <row r="228" spans="1:14">
      <c r="A228" s="11" t="s">
        <v>441</v>
      </c>
      <c r="B228" s="12" t="s">
        <v>442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134</v>
      </c>
      <c r="M228">
        <v>76</v>
      </c>
      <c r="N228">
        <v>58</v>
      </c>
    </row>
    <row r="229" spans="1:14">
      <c r="A229" s="13" t="s">
        <v>443</v>
      </c>
      <c r="B229" s="14" t="s">
        <v>269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170</v>
      </c>
      <c r="M229">
        <v>71</v>
      </c>
      <c r="N229">
        <v>56</v>
      </c>
    </row>
    <row r="230" spans="1:14">
      <c r="A230" s="11" t="s">
        <v>444</v>
      </c>
      <c r="B230" s="12" t="s">
        <v>445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81</v>
      </c>
      <c r="M230">
        <v>59</v>
      </c>
      <c r="N230">
        <v>60</v>
      </c>
    </row>
    <row r="231" spans="1:14">
      <c r="A231" s="13" t="s">
        <v>446</v>
      </c>
      <c r="B231" s="14" t="s">
        <v>447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154</v>
      </c>
      <c r="M231">
        <v>63</v>
      </c>
      <c r="N231">
        <v>92</v>
      </c>
    </row>
    <row r="232" spans="1:14">
      <c r="A232" s="11" t="s">
        <v>448</v>
      </c>
      <c r="B232" s="12" t="s">
        <v>449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169</v>
      </c>
      <c r="M232">
        <v>69</v>
      </c>
      <c r="N232">
        <v>51</v>
      </c>
    </row>
    <row r="233" spans="1:14">
      <c r="A233" s="13" t="s">
        <v>450</v>
      </c>
      <c r="B233" s="14" t="s">
        <v>451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115</v>
      </c>
      <c r="M233">
        <v>78</v>
      </c>
      <c r="N233">
        <v>69</v>
      </c>
    </row>
    <row r="234" spans="1:14">
      <c r="A234" s="11" t="s">
        <v>452</v>
      </c>
      <c r="B234" s="12" t="s">
        <v>453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84</v>
      </c>
      <c r="M234">
        <v>43</v>
      </c>
      <c r="N234">
        <v>74</v>
      </c>
    </row>
    <row r="235" spans="1:14">
      <c r="A235" s="13">
        <v>69</v>
      </c>
      <c r="B235" s="14" t="s">
        <v>454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93</v>
      </c>
      <c r="M235">
        <v>79</v>
      </c>
      <c r="N235">
        <v>62</v>
      </c>
    </row>
    <row r="236" spans="1:14">
      <c r="A236" s="11" t="s">
        <v>455</v>
      </c>
      <c r="B236" s="12" t="s">
        <v>456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91</v>
      </c>
      <c r="M236">
        <v>82</v>
      </c>
      <c r="N236">
        <v>62</v>
      </c>
    </row>
    <row r="237" spans="1:14">
      <c r="A237" s="13" t="s">
        <v>457</v>
      </c>
      <c r="B237" s="14" t="s">
        <v>458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142</v>
      </c>
      <c r="M237">
        <v>82</v>
      </c>
      <c r="N237">
        <v>44</v>
      </c>
    </row>
    <row r="238" spans="1:14">
      <c r="A238" s="11" t="s">
        <v>459</v>
      </c>
      <c r="B238" s="12" t="s">
        <v>460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126</v>
      </c>
      <c r="M238">
        <v>78</v>
      </c>
      <c r="N238">
        <v>70</v>
      </c>
    </row>
    <row r="239" spans="1:14">
      <c r="A239" s="13" t="s">
        <v>461</v>
      </c>
      <c r="B239" s="14" t="s">
        <v>39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97</v>
      </c>
      <c r="M239">
        <v>73</v>
      </c>
      <c r="N239">
        <v>44</v>
      </c>
    </row>
    <row r="240" spans="1:14">
      <c r="A240" s="11" t="s">
        <v>462</v>
      </c>
      <c r="B240" s="12" t="s">
        <v>463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101</v>
      </c>
      <c r="M240">
        <v>92</v>
      </c>
      <c r="N240">
        <v>51</v>
      </c>
    </row>
    <row r="241" spans="1:14">
      <c r="A241" s="13" t="s">
        <v>464</v>
      </c>
      <c r="B241" s="14" t="s">
        <v>42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98</v>
      </c>
      <c r="M241">
        <v>80</v>
      </c>
      <c r="N241">
        <v>48</v>
      </c>
    </row>
    <row r="242" spans="1:14">
      <c r="A242" s="11" t="s">
        <v>465</v>
      </c>
      <c r="B242" s="12" t="s">
        <v>466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154</v>
      </c>
      <c r="M242">
        <v>59</v>
      </c>
      <c r="N242">
        <v>89</v>
      </c>
    </row>
    <row r="243" spans="1:14">
      <c r="A243" s="13" t="s">
        <v>467</v>
      </c>
      <c r="B243" s="14" t="s">
        <v>468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120</v>
      </c>
      <c r="M243">
        <v>91</v>
      </c>
      <c r="N243">
        <v>58</v>
      </c>
    </row>
    <row r="244" spans="1:14">
      <c r="A244" s="11" t="s">
        <v>469</v>
      </c>
      <c r="B244" s="12" t="s">
        <v>470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150</v>
      </c>
      <c r="M244">
        <v>49</v>
      </c>
      <c r="N244">
        <v>55</v>
      </c>
    </row>
    <row r="245" spans="1:14">
      <c r="A245" s="13" t="s">
        <v>471</v>
      </c>
      <c r="B245" s="14" t="s">
        <v>472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>
        <v>174</v>
      </c>
      <c r="M245">
        <v>47</v>
      </c>
      <c r="N245">
        <v>78</v>
      </c>
    </row>
    <row r="246" spans="1:14">
      <c r="A246" s="11" t="s">
        <v>473</v>
      </c>
      <c r="B246" s="12" t="s">
        <v>474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202</v>
      </c>
      <c r="M246">
        <v>34</v>
      </c>
      <c r="N246">
        <v>51</v>
      </c>
    </row>
    <row r="247" spans="1:14">
      <c r="A247" s="13" t="s">
        <v>475</v>
      </c>
      <c r="B247" s="14" t="s">
        <v>321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153</v>
      </c>
      <c r="M247">
        <v>56</v>
      </c>
      <c r="N247">
        <v>52</v>
      </c>
    </row>
    <row r="248" spans="1:14">
      <c r="A248" s="11" t="s">
        <v>476</v>
      </c>
      <c r="B248" s="12" t="s">
        <v>240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142</v>
      </c>
      <c r="M248">
        <v>60</v>
      </c>
      <c r="N248">
        <v>37</v>
      </c>
    </row>
    <row r="249" spans="1:14">
      <c r="A249" s="13" t="s">
        <v>477</v>
      </c>
      <c r="B249" s="14" t="s">
        <v>478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108</v>
      </c>
      <c r="M249">
        <v>84</v>
      </c>
      <c r="N249">
        <v>47</v>
      </c>
    </row>
    <row r="250" spans="1:14">
      <c r="A250" s="11" t="s">
        <v>479</v>
      </c>
      <c r="B250" s="12" t="s">
        <v>480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143</v>
      </c>
      <c r="M250">
        <v>83</v>
      </c>
      <c r="N250">
        <v>69</v>
      </c>
    </row>
    <row r="251" spans="1:14">
      <c r="A251" s="13" t="s">
        <v>481</v>
      </c>
      <c r="B251" s="14" t="s">
        <v>482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108</v>
      </c>
      <c r="M251">
        <v>67</v>
      </c>
      <c r="N251">
        <v>67</v>
      </c>
    </row>
    <row r="252" spans="1:14">
      <c r="A252" s="11" t="s">
        <v>483</v>
      </c>
      <c r="B252" s="12" t="s">
        <v>229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>
        <v>104</v>
      </c>
      <c r="M252">
        <v>95</v>
      </c>
      <c r="N252">
        <v>66</v>
      </c>
    </row>
    <row r="253" spans="1:14">
      <c r="A253" s="13" t="s">
        <v>484</v>
      </c>
      <c r="B253" s="14" t="s">
        <v>485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93</v>
      </c>
      <c r="M253">
        <v>84</v>
      </c>
      <c r="N253">
        <v>79</v>
      </c>
    </row>
    <row r="254" spans="1:14">
      <c r="A254" s="11" t="s">
        <v>486</v>
      </c>
      <c r="B254" s="12" t="s">
        <v>487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105</v>
      </c>
      <c r="M254">
        <v>65</v>
      </c>
      <c r="N254">
        <v>53</v>
      </c>
    </row>
    <row r="255" spans="1:14">
      <c r="A255" s="13" t="s">
        <v>488</v>
      </c>
      <c r="B255" s="14" t="s">
        <v>489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170</v>
      </c>
      <c r="M255">
        <v>44</v>
      </c>
      <c r="N255">
        <v>32</v>
      </c>
    </row>
    <row r="256" spans="1:14">
      <c r="A256" s="11" t="s">
        <v>490</v>
      </c>
      <c r="B256" s="12" t="s">
        <v>491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178</v>
      </c>
      <c r="M256">
        <v>62</v>
      </c>
      <c r="N256">
        <v>66</v>
      </c>
    </row>
    <row r="257" spans="1:14">
      <c r="A257" s="13" t="s">
        <v>492</v>
      </c>
      <c r="B257" s="14" t="s">
        <v>289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176</v>
      </c>
      <c r="M257">
        <v>50</v>
      </c>
      <c r="N257">
        <v>76</v>
      </c>
    </row>
    <row r="258" spans="1:14">
      <c r="A258" s="11" t="s">
        <v>493</v>
      </c>
      <c r="B258" s="12" t="s">
        <v>494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104</v>
      </c>
      <c r="M258">
        <v>80</v>
      </c>
      <c r="N258">
        <v>88</v>
      </c>
    </row>
    <row r="259" spans="1:14">
      <c r="A259" s="13" t="s">
        <v>495</v>
      </c>
      <c r="B259" s="14" t="s">
        <v>496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85</v>
      </c>
      <c r="M259">
        <v>70</v>
      </c>
      <c r="N259">
        <v>84</v>
      </c>
    </row>
    <row r="260" spans="1:14">
      <c r="A260" s="11" t="s">
        <v>497</v>
      </c>
      <c r="B260" s="12" t="s">
        <v>498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117</v>
      </c>
      <c r="M260">
        <v>77</v>
      </c>
      <c r="N260">
        <v>58</v>
      </c>
    </row>
    <row r="261" spans="1:14">
      <c r="A261" s="13" t="s">
        <v>499</v>
      </c>
      <c r="B261" s="14" t="s">
        <v>138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80</v>
      </c>
      <c r="M261">
        <v>52</v>
      </c>
      <c r="N261">
        <v>48</v>
      </c>
    </row>
    <row r="262" spans="1:14">
      <c r="A262" s="11" t="s">
        <v>500</v>
      </c>
      <c r="B262" s="12" t="s">
        <v>501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98</v>
      </c>
      <c r="M262">
        <v>44</v>
      </c>
      <c r="N262">
        <v>41</v>
      </c>
    </row>
    <row r="263" spans="1:14">
      <c r="A263" s="13" t="s">
        <v>502</v>
      </c>
      <c r="B263" s="14" t="s">
        <v>503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178</v>
      </c>
      <c r="M263">
        <v>79</v>
      </c>
      <c r="N263">
        <v>78</v>
      </c>
    </row>
    <row r="264" spans="1:14">
      <c r="A264" s="11" t="s">
        <v>504</v>
      </c>
      <c r="B264" s="12" t="s">
        <v>505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148</v>
      </c>
      <c r="M264">
        <v>51</v>
      </c>
      <c r="N264">
        <v>33</v>
      </c>
    </row>
    <row r="265" spans="1:14">
      <c r="A265" s="13" t="s">
        <v>506</v>
      </c>
      <c r="B265" s="14" t="s">
        <v>70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120</v>
      </c>
      <c r="M265">
        <v>77</v>
      </c>
      <c r="N265">
        <v>66</v>
      </c>
    </row>
    <row r="266" spans="1:14">
      <c r="A266" s="11" t="s">
        <v>507</v>
      </c>
      <c r="B266" s="12" t="s">
        <v>508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122</v>
      </c>
      <c r="M266">
        <v>68</v>
      </c>
      <c r="N266">
        <v>88</v>
      </c>
    </row>
    <row r="267" spans="1:14">
      <c r="A267" s="13" t="s">
        <v>509</v>
      </c>
      <c r="B267" s="14" t="s">
        <v>510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144</v>
      </c>
      <c r="M267">
        <v>74</v>
      </c>
      <c r="N267">
        <v>73</v>
      </c>
    </row>
    <row r="268" spans="1:14">
      <c r="A268" s="11" t="s">
        <v>511</v>
      </c>
      <c r="B268" s="12" t="s">
        <v>512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96</v>
      </c>
      <c r="M268">
        <v>93</v>
      </c>
      <c r="N268">
        <v>47</v>
      </c>
    </row>
    <row r="269" spans="1:14">
      <c r="A269" s="13" t="s">
        <v>513</v>
      </c>
      <c r="B269" s="14" t="s">
        <v>514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137</v>
      </c>
      <c r="M269">
        <v>77</v>
      </c>
      <c r="N269">
        <v>88</v>
      </c>
    </row>
    <row r="270" spans="1:14">
      <c r="A270" s="11" t="s">
        <v>515</v>
      </c>
      <c r="B270" s="12" t="s">
        <v>516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121</v>
      </c>
      <c r="M270">
        <v>94</v>
      </c>
      <c r="N270">
        <v>61</v>
      </c>
    </row>
    <row r="271" spans="1:14">
      <c r="A271" s="13" t="s">
        <v>517</v>
      </c>
      <c r="B271" s="14" t="s">
        <v>518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119</v>
      </c>
      <c r="M271">
        <v>60</v>
      </c>
      <c r="N271">
        <v>57</v>
      </c>
    </row>
    <row r="272" spans="1:14">
      <c r="A272" s="11" t="s">
        <v>519</v>
      </c>
      <c r="B272" s="12" t="s">
        <v>39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96</v>
      </c>
      <c r="M272">
        <v>72</v>
      </c>
      <c r="N272">
        <v>47</v>
      </c>
    </row>
    <row r="273" spans="1:14">
      <c r="A273" s="13" t="s">
        <v>520</v>
      </c>
      <c r="B273" s="14" t="s">
        <v>138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111</v>
      </c>
      <c r="M273">
        <v>87</v>
      </c>
      <c r="N273">
        <v>52</v>
      </c>
    </row>
    <row r="274" spans="1:14">
      <c r="A274" s="11" t="s">
        <v>521</v>
      </c>
      <c r="B274" s="12" t="s">
        <v>522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148</v>
      </c>
      <c r="M274">
        <v>90</v>
      </c>
      <c r="N274">
        <v>68</v>
      </c>
    </row>
    <row r="275" spans="1:14">
      <c r="A275" s="13" t="s">
        <v>523</v>
      </c>
      <c r="B275" s="14" t="s">
        <v>524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182</v>
      </c>
      <c r="M275">
        <v>57</v>
      </c>
      <c r="N275">
        <v>59</v>
      </c>
    </row>
    <row r="276" spans="1:14">
      <c r="A276" s="11" t="s">
        <v>525</v>
      </c>
      <c r="B276" s="12" t="s">
        <v>289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141</v>
      </c>
      <c r="M276">
        <v>79</v>
      </c>
      <c r="N276">
        <v>86</v>
      </c>
    </row>
    <row r="277" spans="1:14">
      <c r="A277" s="13" t="s">
        <v>526</v>
      </c>
      <c r="B277" s="14" t="s">
        <v>527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145</v>
      </c>
      <c r="M277">
        <v>76</v>
      </c>
      <c r="N277">
        <v>81</v>
      </c>
    </row>
    <row r="278" spans="1:14">
      <c r="A278" s="11" t="s">
        <v>528</v>
      </c>
      <c r="B278" s="12" t="s">
        <v>529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110</v>
      </c>
      <c r="M278">
        <v>76</v>
      </c>
      <c r="N278">
        <v>70</v>
      </c>
    </row>
    <row r="279" spans="1:14">
      <c r="A279" s="13" t="s">
        <v>530</v>
      </c>
      <c r="B279" s="14" t="s">
        <v>531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134</v>
      </c>
      <c r="M279">
        <v>70</v>
      </c>
      <c r="N279">
        <v>41</v>
      </c>
    </row>
    <row r="280" spans="1:14">
      <c r="A280" s="11" t="s">
        <v>532</v>
      </c>
      <c r="B280" s="12" t="s">
        <v>533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130</v>
      </c>
      <c r="M280">
        <v>92</v>
      </c>
      <c r="N280">
        <v>62</v>
      </c>
    </row>
    <row r="281" spans="1:14">
      <c r="A281" s="13" t="s">
        <v>534</v>
      </c>
      <c r="B281" s="14" t="s">
        <v>535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145</v>
      </c>
      <c r="M281">
        <v>84</v>
      </c>
      <c r="N281">
        <v>53</v>
      </c>
    </row>
    <row r="282" spans="1:14">
      <c r="A282" s="11" t="s">
        <v>536</v>
      </c>
      <c r="B282" s="12" t="s">
        <v>537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130</v>
      </c>
      <c r="M282">
        <v>69</v>
      </c>
      <c r="N282">
        <v>90</v>
      </c>
    </row>
    <row r="283" spans="1:14">
      <c r="A283" s="13" t="s">
        <v>538</v>
      </c>
      <c r="B283" s="14" t="s">
        <v>539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173</v>
      </c>
      <c r="M283">
        <v>59</v>
      </c>
      <c r="N283">
        <v>53</v>
      </c>
    </row>
    <row r="284" spans="1:14">
      <c r="A284" s="11" t="s">
        <v>540</v>
      </c>
      <c r="B284" s="12" t="s">
        <v>51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92</v>
      </c>
      <c r="M284">
        <v>75</v>
      </c>
      <c r="N284">
        <v>76</v>
      </c>
    </row>
    <row r="285" spans="1:14">
      <c r="A285" s="13" t="s">
        <v>541</v>
      </c>
      <c r="B285" s="14" t="s">
        <v>542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105</v>
      </c>
      <c r="M285">
        <v>56</v>
      </c>
      <c r="N285">
        <v>87</v>
      </c>
    </row>
    <row r="286" spans="1:14">
      <c r="A286" s="11" t="s">
        <v>543</v>
      </c>
      <c r="B286" s="12" t="s">
        <v>544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175</v>
      </c>
      <c r="M286">
        <v>59</v>
      </c>
      <c r="N286">
        <v>64</v>
      </c>
    </row>
    <row r="287" spans="1:14">
      <c r="A287" s="13" t="s">
        <v>545</v>
      </c>
      <c r="B287" s="14" t="s">
        <v>546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120</v>
      </c>
      <c r="M287">
        <v>80</v>
      </c>
      <c r="N287">
        <v>70</v>
      </c>
    </row>
    <row r="288" spans="1:14">
      <c r="A288" s="11" t="s">
        <v>547</v>
      </c>
      <c r="B288" s="12" t="s">
        <v>548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139</v>
      </c>
      <c r="M288">
        <v>70</v>
      </c>
      <c r="N288">
        <v>48</v>
      </c>
    </row>
    <row r="289" spans="1:14">
      <c r="A289" s="13" t="s">
        <v>549</v>
      </c>
      <c r="B289" s="14" t="s">
        <v>76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132</v>
      </c>
      <c r="M289">
        <v>59</v>
      </c>
      <c r="N289">
        <v>82</v>
      </c>
    </row>
    <row r="290" spans="1:14">
      <c r="A290" s="11" t="s">
        <v>550</v>
      </c>
      <c r="B290" s="12" t="s">
        <v>551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114</v>
      </c>
      <c r="M290">
        <v>32</v>
      </c>
      <c r="N290">
        <v>74</v>
      </c>
    </row>
    <row r="291" spans="1:14">
      <c r="A291" s="13" t="s">
        <v>552</v>
      </c>
      <c r="B291" s="14" t="s">
        <v>553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145</v>
      </c>
      <c r="M291">
        <v>54</v>
      </c>
      <c r="N291">
        <v>48</v>
      </c>
    </row>
    <row r="292" spans="1:14">
      <c r="A292" s="11" t="s">
        <v>554</v>
      </c>
      <c r="B292" s="12" t="s">
        <v>555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110</v>
      </c>
      <c r="M292">
        <v>82</v>
      </c>
      <c r="N292">
        <v>69</v>
      </c>
    </row>
    <row r="293" spans="1:14">
      <c r="A293" s="13" t="s">
        <v>556</v>
      </c>
      <c r="B293" s="14" t="s">
        <v>557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94</v>
      </c>
      <c r="M293">
        <v>89</v>
      </c>
      <c r="N293">
        <v>66</v>
      </c>
    </row>
    <row r="294" spans="1:14">
      <c r="A294" s="11" t="s">
        <v>558</v>
      </c>
      <c r="B294" s="12" t="s">
        <v>126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134</v>
      </c>
      <c r="M294">
        <v>45</v>
      </c>
      <c r="N294">
        <v>60</v>
      </c>
    </row>
    <row r="295" spans="1:14">
      <c r="A295" s="13" t="s">
        <v>559</v>
      </c>
      <c r="B295" s="14" t="s">
        <v>76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120</v>
      </c>
      <c r="M295">
        <v>62</v>
      </c>
      <c r="N295">
        <v>76</v>
      </c>
    </row>
    <row r="296" spans="1:14">
      <c r="A296" s="11" t="s">
        <v>560</v>
      </c>
      <c r="B296" s="12" t="s">
        <v>246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123</v>
      </c>
      <c r="M296">
        <v>70</v>
      </c>
      <c r="N296">
        <v>68</v>
      </c>
    </row>
    <row r="297" spans="1:14">
      <c r="A297" s="13" t="s">
        <v>561</v>
      </c>
      <c r="B297" s="14" t="s">
        <v>562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131</v>
      </c>
      <c r="M297">
        <v>77</v>
      </c>
      <c r="N297">
        <v>71</v>
      </c>
    </row>
    <row r="298" spans="1:14">
      <c r="A298" s="11" t="s">
        <v>563</v>
      </c>
      <c r="B298" s="12" t="s">
        <v>229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>
        <v>171</v>
      </c>
      <c r="M298">
        <v>70</v>
      </c>
      <c r="N298">
        <v>73</v>
      </c>
    </row>
    <row r="299" spans="1:14">
      <c r="A299" s="13" t="s">
        <v>564</v>
      </c>
      <c r="B299" s="14" t="s">
        <v>565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>
        <v>130</v>
      </c>
      <c r="M299">
        <v>80</v>
      </c>
      <c r="N299">
        <v>76</v>
      </c>
    </row>
    <row r="300" spans="1:14">
      <c r="A300" s="11" t="s">
        <v>566</v>
      </c>
      <c r="B300" s="12" t="s">
        <v>491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94</v>
      </c>
      <c r="M300">
        <v>82</v>
      </c>
      <c r="N300">
        <v>67</v>
      </c>
    </row>
    <row r="301" spans="1:14">
      <c r="A301" s="13" t="s">
        <v>567</v>
      </c>
      <c r="B301" s="14" t="s">
        <v>568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89</v>
      </c>
      <c r="M301">
        <v>73</v>
      </c>
      <c r="N301">
        <v>57</v>
      </c>
    </row>
    <row r="302" spans="1:14">
      <c r="A302" s="11" t="s">
        <v>569</v>
      </c>
      <c r="B302" s="12" t="s">
        <v>269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87</v>
      </c>
      <c r="M302">
        <v>65</v>
      </c>
      <c r="N302">
        <v>56</v>
      </c>
    </row>
    <row r="303" spans="1:14">
      <c r="A303" s="13" t="s">
        <v>570</v>
      </c>
      <c r="B303" s="14" t="s">
        <v>571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124</v>
      </c>
      <c r="M303">
        <v>72</v>
      </c>
      <c r="N303">
        <v>78</v>
      </c>
    </row>
    <row r="304" spans="1:14">
      <c r="A304" s="11" t="s">
        <v>572</v>
      </c>
      <c r="B304" s="12" t="s">
        <v>573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78</v>
      </c>
      <c r="M304">
        <v>71</v>
      </c>
      <c r="N304">
        <v>65</v>
      </c>
    </row>
    <row r="305" spans="1:14">
      <c r="A305" s="15">
        <v>0.44097222222222221</v>
      </c>
      <c r="B305" s="14" t="s">
        <v>574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120</v>
      </c>
      <c r="M305">
        <v>70</v>
      </c>
      <c r="N305">
        <v>79</v>
      </c>
    </row>
    <row r="306" spans="1:14">
      <c r="A306" s="11" t="s">
        <v>575</v>
      </c>
      <c r="B306" s="12" t="s">
        <v>573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96</v>
      </c>
      <c r="M306">
        <v>48</v>
      </c>
      <c r="N306">
        <v>80</v>
      </c>
    </row>
    <row r="307" spans="1:14">
      <c r="A307" s="13" t="s">
        <v>576</v>
      </c>
      <c r="B307" s="14" t="s">
        <v>577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106</v>
      </c>
      <c r="M307">
        <v>73</v>
      </c>
      <c r="N307">
        <v>86</v>
      </c>
    </row>
    <row r="308" spans="1:14">
      <c r="A308" s="11" t="s">
        <v>578</v>
      </c>
      <c r="B308" s="12" t="s">
        <v>579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170</v>
      </c>
      <c r="M308">
        <v>78</v>
      </c>
      <c r="N308">
        <v>46</v>
      </c>
    </row>
    <row r="309" spans="1:14">
      <c r="A309" s="13" t="s">
        <v>580</v>
      </c>
      <c r="B309" s="14" t="s">
        <v>581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134</v>
      </c>
      <c r="M309">
        <v>67</v>
      </c>
      <c r="N309">
        <v>76</v>
      </c>
    </row>
    <row r="310" spans="1:14">
      <c r="A310" s="11" t="s">
        <v>582</v>
      </c>
      <c r="B310" s="12" t="s">
        <v>66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115</v>
      </c>
      <c r="M310">
        <v>71</v>
      </c>
      <c r="N310">
        <v>73</v>
      </c>
    </row>
    <row r="311" spans="1:14">
      <c r="A311" s="13" t="s">
        <v>583</v>
      </c>
      <c r="B311" s="14" t="s">
        <v>584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130</v>
      </c>
      <c r="M311">
        <v>74</v>
      </c>
      <c r="N311">
        <v>87</v>
      </c>
    </row>
    <row r="312" spans="1:14">
      <c r="A312" s="11" t="s">
        <v>585</v>
      </c>
      <c r="B312" s="12" t="s">
        <v>130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118</v>
      </c>
      <c r="M312">
        <v>65</v>
      </c>
      <c r="N312">
        <v>79</v>
      </c>
    </row>
    <row r="313" spans="1:14">
      <c r="A313" s="13" t="s">
        <v>586</v>
      </c>
      <c r="B313" s="14" t="s">
        <v>587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110</v>
      </c>
      <c r="M313">
        <v>59</v>
      </c>
      <c r="N313">
        <v>38</v>
      </c>
    </row>
    <row r="314" spans="1:14">
      <c r="A314" s="11" t="s">
        <v>588</v>
      </c>
      <c r="B314" s="12" t="s">
        <v>589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100</v>
      </c>
      <c r="M314">
        <v>72</v>
      </c>
      <c r="N314">
        <v>66</v>
      </c>
    </row>
    <row r="315" spans="1:14">
      <c r="A315" s="13" t="s">
        <v>590</v>
      </c>
      <c r="B315" s="14" t="s">
        <v>591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142</v>
      </c>
      <c r="M315">
        <v>70</v>
      </c>
      <c r="N315">
        <v>79</v>
      </c>
    </row>
    <row r="316" spans="1:14">
      <c r="A316" s="11" t="s">
        <v>592</v>
      </c>
      <c r="B316" s="12" t="s">
        <v>39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140</v>
      </c>
      <c r="M316">
        <v>64</v>
      </c>
      <c r="N316">
        <v>37</v>
      </c>
    </row>
    <row r="317" spans="1:14">
      <c r="A317" s="13" t="s">
        <v>593</v>
      </c>
      <c r="B317" s="14" t="s">
        <v>594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116</v>
      </c>
      <c r="M317">
        <v>90</v>
      </c>
      <c r="N317">
        <v>73</v>
      </c>
    </row>
    <row r="318" spans="1:14">
      <c r="A318" s="11" t="s">
        <v>595</v>
      </c>
      <c r="B318" s="12" t="s">
        <v>93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120</v>
      </c>
      <c r="M318">
        <v>73</v>
      </c>
      <c r="N318">
        <v>85</v>
      </c>
    </row>
    <row r="319" spans="1:14">
      <c r="A319" s="13" t="s">
        <v>596</v>
      </c>
      <c r="B319" s="14" t="s">
        <v>597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92</v>
      </c>
      <c r="M319">
        <v>76</v>
      </c>
      <c r="N319">
        <v>79</v>
      </c>
    </row>
    <row r="320" spans="1:14">
      <c r="A320" s="11" t="s">
        <v>598</v>
      </c>
      <c r="B320" s="12" t="s">
        <v>599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110</v>
      </c>
      <c r="M320">
        <v>81</v>
      </c>
      <c r="N320">
        <v>79</v>
      </c>
    </row>
    <row r="321" spans="1:14">
      <c r="A321" s="13" t="s">
        <v>600</v>
      </c>
      <c r="B321" s="14" t="s">
        <v>601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120</v>
      </c>
      <c r="M321">
        <v>71</v>
      </c>
      <c r="N321">
        <v>97</v>
      </c>
    </row>
    <row r="322" spans="1:14">
      <c r="A322" s="11" t="s">
        <v>602</v>
      </c>
      <c r="B322" s="12" t="s">
        <v>603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80</v>
      </c>
      <c r="M322">
        <v>63</v>
      </c>
      <c r="N322">
        <v>61</v>
      </c>
    </row>
    <row r="323" spans="1:14">
      <c r="A323" s="13" t="s">
        <v>604</v>
      </c>
      <c r="B323" s="14" t="s">
        <v>605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115</v>
      </c>
      <c r="M323">
        <v>95</v>
      </c>
      <c r="N323">
        <v>69</v>
      </c>
    </row>
    <row r="324" spans="1:14">
      <c r="A324" s="11" t="s">
        <v>606</v>
      </c>
      <c r="B324" s="12" t="s">
        <v>607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76</v>
      </c>
      <c r="M324">
        <v>58</v>
      </c>
      <c r="N324">
        <v>67</v>
      </c>
    </row>
    <row r="325" spans="1:14">
      <c r="A325" s="13" t="s">
        <v>608</v>
      </c>
      <c r="B325" s="14" t="s">
        <v>449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172</v>
      </c>
      <c r="M325">
        <v>60</v>
      </c>
      <c r="N325">
        <v>78</v>
      </c>
    </row>
    <row r="326" spans="1:14">
      <c r="A326" s="11" t="s">
        <v>609</v>
      </c>
      <c r="B326" s="12" t="s">
        <v>365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>
        <v>99</v>
      </c>
      <c r="M326">
        <v>40</v>
      </c>
      <c r="N326">
        <v>56</v>
      </c>
    </row>
    <row r="327" spans="1:14">
      <c r="A327" s="13" t="s">
        <v>610</v>
      </c>
      <c r="B327" s="14" t="s">
        <v>126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>
        <v>136</v>
      </c>
      <c r="M327">
        <v>36</v>
      </c>
      <c r="N327">
        <v>57</v>
      </c>
    </row>
    <row r="328" spans="1:14">
      <c r="A328" s="11" t="s">
        <v>611</v>
      </c>
      <c r="B328" s="12" t="s">
        <v>612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150</v>
      </c>
      <c r="M328">
        <v>90</v>
      </c>
      <c r="N328">
        <v>14</v>
      </c>
    </row>
    <row r="329" spans="1:14">
      <c r="A329" s="13" t="s">
        <v>613</v>
      </c>
      <c r="B329" s="14" t="s">
        <v>614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92</v>
      </c>
      <c r="M329">
        <v>71</v>
      </c>
      <c r="N329">
        <v>31</v>
      </c>
    </row>
    <row r="330" spans="1:14">
      <c r="A330" s="11" t="s">
        <v>615</v>
      </c>
      <c r="B330" s="12" t="s">
        <v>616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95</v>
      </c>
      <c r="M330">
        <v>77</v>
      </c>
      <c r="N330">
        <v>87</v>
      </c>
    </row>
    <row r="331" spans="1:14">
      <c r="A331" s="13" t="s">
        <v>617</v>
      </c>
      <c r="B331" s="14" t="s">
        <v>618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102</v>
      </c>
      <c r="M331">
        <v>83</v>
      </c>
      <c r="N331">
        <v>83</v>
      </c>
    </row>
    <row r="332" spans="1:14">
      <c r="A332" s="11" t="s">
        <v>619</v>
      </c>
      <c r="B332" s="12" t="s">
        <v>68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145</v>
      </c>
      <c r="M332">
        <v>70</v>
      </c>
      <c r="N332">
        <v>55</v>
      </c>
    </row>
    <row r="333" spans="1:14">
      <c r="A333" s="13" t="s">
        <v>620</v>
      </c>
      <c r="B333" s="14" t="s">
        <v>621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>
        <v>110</v>
      </c>
      <c r="M333">
        <v>50</v>
      </c>
      <c r="N333">
        <v>86</v>
      </c>
    </row>
    <row r="334" spans="1:14">
      <c r="A334" s="11" t="s">
        <v>622</v>
      </c>
      <c r="B334" s="12" t="s">
        <v>623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95</v>
      </c>
      <c r="M334">
        <v>64</v>
      </c>
      <c r="N334">
        <v>77</v>
      </c>
    </row>
    <row r="335" spans="1:14">
      <c r="A335" s="13" t="s">
        <v>624</v>
      </c>
      <c r="B335" s="14" t="s">
        <v>625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94</v>
      </c>
      <c r="M335">
        <v>68</v>
      </c>
      <c r="N335">
        <v>82</v>
      </c>
    </row>
    <row r="336" spans="1:14">
      <c r="A336" s="11" t="s">
        <v>626</v>
      </c>
      <c r="B336" s="12" t="s">
        <v>93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142</v>
      </c>
      <c r="M336">
        <v>61</v>
      </c>
      <c r="N336">
        <v>91</v>
      </c>
    </row>
    <row r="337" spans="1:14">
      <c r="A337" s="13" t="s">
        <v>627</v>
      </c>
      <c r="B337" s="14" t="s">
        <v>628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145</v>
      </c>
      <c r="M337">
        <v>59</v>
      </c>
      <c r="N337">
        <v>74</v>
      </c>
    </row>
    <row r="338" spans="1:14">
      <c r="A338" s="11" t="s">
        <v>629</v>
      </c>
      <c r="B338" s="12" t="s">
        <v>93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121</v>
      </c>
      <c r="M338">
        <v>64</v>
      </c>
      <c r="N338">
        <v>80</v>
      </c>
    </row>
    <row r="339" spans="1:14">
      <c r="A339" s="13" t="s">
        <v>630</v>
      </c>
      <c r="B339" s="14" t="s">
        <v>93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140</v>
      </c>
      <c r="M339">
        <v>66</v>
      </c>
      <c r="N339">
        <v>76</v>
      </c>
    </row>
    <row r="340" spans="1:14">
      <c r="A340" s="11" t="s">
        <v>631</v>
      </c>
      <c r="B340" s="12" t="s">
        <v>632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137</v>
      </c>
      <c r="M340">
        <v>84</v>
      </c>
      <c r="N340">
        <v>67</v>
      </c>
    </row>
    <row r="341" spans="1:14">
      <c r="A341" s="13" t="s">
        <v>633</v>
      </c>
      <c r="B341" s="14" t="s">
        <v>93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104</v>
      </c>
      <c r="M341">
        <v>56</v>
      </c>
      <c r="N341">
        <v>85</v>
      </c>
    </row>
    <row r="342" spans="1:14">
      <c r="A342" s="11" t="s">
        <v>634</v>
      </c>
      <c r="B342" s="12" t="s">
        <v>635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92</v>
      </c>
      <c r="M342">
        <v>57</v>
      </c>
      <c r="N342">
        <v>76</v>
      </c>
    </row>
    <row r="343" spans="1:14">
      <c r="A343" s="13" t="s">
        <v>636</v>
      </c>
      <c r="B343" s="14" t="s">
        <v>637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146</v>
      </c>
      <c r="M343">
        <v>74</v>
      </c>
      <c r="N343">
        <v>45</v>
      </c>
    </row>
    <row r="344" spans="1:14">
      <c r="A344" s="11" t="s">
        <v>638</v>
      </c>
      <c r="B344" s="12" t="s">
        <v>639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120</v>
      </c>
      <c r="M344">
        <v>56</v>
      </c>
      <c r="N344">
        <v>43</v>
      </c>
    </row>
    <row r="345" spans="1:14">
      <c r="A345" s="13" t="s">
        <v>640</v>
      </c>
      <c r="B345" s="14" t="s">
        <v>93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144</v>
      </c>
      <c r="M345">
        <v>68</v>
      </c>
      <c r="N345">
        <v>81</v>
      </c>
    </row>
    <row r="346" spans="1:14">
      <c r="A346" s="11" t="s">
        <v>641</v>
      </c>
      <c r="B346" s="12" t="s">
        <v>642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94</v>
      </c>
      <c r="M346">
        <v>59</v>
      </c>
      <c r="N346">
        <v>56</v>
      </c>
    </row>
    <row r="347" spans="1:14">
      <c r="A347" s="13" t="s">
        <v>643</v>
      </c>
      <c r="B347" s="14" t="s">
        <v>644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94</v>
      </c>
      <c r="M347">
        <v>73</v>
      </c>
      <c r="N347">
        <v>79</v>
      </c>
    </row>
    <row r="348" spans="1:14">
      <c r="A348" s="11" t="s">
        <v>645</v>
      </c>
      <c r="B348" s="12" t="s">
        <v>646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113</v>
      </c>
      <c r="M348">
        <v>79</v>
      </c>
      <c r="N348">
        <v>74</v>
      </c>
    </row>
    <row r="349" spans="1:14">
      <c r="A349" s="13" t="s">
        <v>647</v>
      </c>
      <c r="B349" s="14" t="s">
        <v>648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148</v>
      </c>
      <c r="M349">
        <v>50</v>
      </c>
      <c r="N349">
        <v>76</v>
      </c>
    </row>
    <row r="350" spans="1:14">
      <c r="A350" s="11" t="s">
        <v>649</v>
      </c>
      <c r="B350" s="12" t="s">
        <v>650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98</v>
      </c>
      <c r="M350">
        <v>70</v>
      </c>
      <c r="N350">
        <v>73</v>
      </c>
    </row>
    <row r="351" spans="1:14">
      <c r="A351" s="13" t="s">
        <v>651</v>
      </c>
      <c r="B351" s="14" t="s">
        <v>652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140</v>
      </c>
      <c r="M351">
        <v>58</v>
      </c>
      <c r="N351">
        <v>38</v>
      </c>
    </row>
    <row r="352" spans="1:14">
      <c r="A352" s="11" t="s">
        <v>653</v>
      </c>
      <c r="B352" s="12" t="s">
        <v>68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100</v>
      </c>
      <c r="M352">
        <v>36</v>
      </c>
      <c r="N352">
        <v>28</v>
      </c>
    </row>
    <row r="353" spans="1:14">
      <c r="A353" s="13" t="s">
        <v>654</v>
      </c>
      <c r="B353" s="14" t="s">
        <v>655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140</v>
      </c>
      <c r="M353">
        <v>86</v>
      </c>
      <c r="N353">
        <v>79</v>
      </c>
    </row>
    <row r="354" spans="1:14">
      <c r="A354" s="11" t="s">
        <v>656</v>
      </c>
      <c r="B354" s="12" t="s">
        <v>60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100</v>
      </c>
      <c r="M354">
        <v>59</v>
      </c>
      <c r="N354">
        <v>94</v>
      </c>
    </row>
    <row r="355" spans="1:14">
      <c r="A355" s="13" t="s">
        <v>657</v>
      </c>
      <c r="B355" s="14" t="s">
        <v>658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100</v>
      </c>
      <c r="M355">
        <v>59</v>
      </c>
      <c r="N355">
        <v>65</v>
      </c>
    </row>
    <row r="356" spans="1:14">
      <c r="A356" s="11" t="s">
        <v>659</v>
      </c>
      <c r="B356" s="12" t="s">
        <v>660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132</v>
      </c>
      <c r="M356">
        <v>87</v>
      </c>
      <c r="N356">
        <v>70</v>
      </c>
    </row>
    <row r="357" spans="1:14">
      <c r="A357" s="13" t="s">
        <v>661</v>
      </c>
      <c r="B357" s="14" t="s">
        <v>93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142</v>
      </c>
      <c r="M357">
        <v>49</v>
      </c>
      <c r="N357">
        <v>67</v>
      </c>
    </row>
    <row r="358" spans="1:14">
      <c r="A358" s="11" t="s">
        <v>662</v>
      </c>
      <c r="B358" s="12" t="s">
        <v>51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176</v>
      </c>
      <c r="M358">
        <v>72</v>
      </c>
      <c r="N358">
        <v>63</v>
      </c>
    </row>
    <row r="359" spans="1:14">
      <c r="A359" s="13" t="s">
        <v>663</v>
      </c>
      <c r="B359" s="14" t="s">
        <v>93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140</v>
      </c>
      <c r="M359">
        <v>53</v>
      </c>
      <c r="N359">
        <v>70</v>
      </c>
    </row>
    <row r="360" spans="1:14">
      <c r="A360" s="11" t="s">
        <v>664</v>
      </c>
      <c r="B360" s="12" t="s">
        <v>621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>
        <v>105</v>
      </c>
      <c r="M360">
        <v>55</v>
      </c>
      <c r="N360">
        <v>90</v>
      </c>
    </row>
    <row r="361" spans="1:14">
      <c r="A361" s="13" t="s">
        <v>665</v>
      </c>
      <c r="B361" s="14" t="s">
        <v>666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135</v>
      </c>
      <c r="M361">
        <v>81</v>
      </c>
      <c r="N361">
        <v>77</v>
      </c>
    </row>
    <row r="362" spans="1:14">
      <c r="A362" s="11" t="s">
        <v>667</v>
      </c>
      <c r="B362" s="12" t="s">
        <v>668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128</v>
      </c>
      <c r="M362">
        <v>82</v>
      </c>
      <c r="N362">
        <v>59</v>
      </c>
    </row>
    <row r="363" spans="1:14">
      <c r="A363" s="13" t="s">
        <v>669</v>
      </c>
      <c r="B363" s="14" t="s">
        <v>670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101</v>
      </c>
      <c r="M363">
        <v>74</v>
      </c>
      <c r="N363">
        <v>69</v>
      </c>
    </row>
    <row r="364" spans="1:14">
      <c r="A364" s="11" t="s">
        <v>671</v>
      </c>
      <c r="B364" s="12" t="s">
        <v>42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122</v>
      </c>
      <c r="M364">
        <v>88</v>
      </c>
      <c r="N364">
        <v>50</v>
      </c>
    </row>
    <row r="365" spans="1:14">
      <c r="A365" s="13" t="s">
        <v>672</v>
      </c>
      <c r="B365" s="14" t="s">
        <v>51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105</v>
      </c>
      <c r="M365">
        <v>76</v>
      </c>
      <c r="N365">
        <v>56</v>
      </c>
    </row>
    <row r="366" spans="1:14">
      <c r="A366" s="11" t="s">
        <v>673</v>
      </c>
      <c r="B366" s="12" t="s">
        <v>674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83</v>
      </c>
      <c r="M366">
        <v>53</v>
      </c>
      <c r="N366">
        <v>36</v>
      </c>
    </row>
    <row r="367" spans="1:14">
      <c r="A367" s="13" t="s">
        <v>675</v>
      </c>
      <c r="B367" s="14" t="s">
        <v>676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77</v>
      </c>
      <c r="M367">
        <v>72</v>
      </c>
      <c r="N367">
        <v>76</v>
      </c>
    </row>
    <row r="368" spans="1:14">
      <c r="A368" s="11" t="s">
        <v>677</v>
      </c>
      <c r="B368" s="12" t="s">
        <v>678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140</v>
      </c>
      <c r="M368">
        <v>75</v>
      </c>
      <c r="N368">
        <v>25</v>
      </c>
    </row>
    <row r="369" spans="1:14">
      <c r="A369" s="13" t="s">
        <v>679</v>
      </c>
      <c r="B369" s="14" t="s">
        <v>680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158</v>
      </c>
      <c r="M369">
        <v>65</v>
      </c>
      <c r="N369">
        <v>95</v>
      </c>
    </row>
    <row r="370" spans="1:14">
      <c r="A370" s="11" t="s">
        <v>681</v>
      </c>
      <c r="B370" s="12" t="s">
        <v>682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176</v>
      </c>
      <c r="M370">
        <v>75</v>
      </c>
      <c r="N370">
        <v>65</v>
      </c>
    </row>
    <row r="371" spans="1:14">
      <c r="A371" s="13" t="s">
        <v>683</v>
      </c>
      <c r="B371" s="14" t="s">
        <v>684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98</v>
      </c>
      <c r="M371">
        <v>73</v>
      </c>
      <c r="N371">
        <v>57</v>
      </c>
    </row>
    <row r="372" spans="1:14">
      <c r="A372" s="11" t="s">
        <v>685</v>
      </c>
      <c r="B372" s="12" t="s">
        <v>686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107</v>
      </c>
      <c r="M372">
        <v>66</v>
      </c>
      <c r="N372">
        <v>40</v>
      </c>
    </row>
    <row r="373" spans="1:14">
      <c r="A373" s="13" t="s">
        <v>687</v>
      </c>
      <c r="B373" s="14" t="s">
        <v>126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109</v>
      </c>
      <c r="M373">
        <v>66</v>
      </c>
      <c r="N373">
        <v>57</v>
      </c>
    </row>
    <row r="374" spans="1:14">
      <c r="A374" s="11" t="s">
        <v>688</v>
      </c>
      <c r="B374" s="12" t="s">
        <v>689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109</v>
      </c>
      <c r="M374">
        <v>84</v>
      </c>
      <c r="N374">
        <v>74</v>
      </c>
    </row>
    <row r="375" spans="1:14">
      <c r="A375" s="13" t="s">
        <v>690</v>
      </c>
      <c r="B375" s="14" t="s">
        <v>93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148</v>
      </c>
      <c r="M375">
        <v>53</v>
      </c>
      <c r="N375">
        <v>81</v>
      </c>
    </row>
    <row r="376" spans="1:14">
      <c r="A376" s="11" t="s">
        <v>691</v>
      </c>
      <c r="B376" s="12" t="s">
        <v>692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158</v>
      </c>
      <c r="M376">
        <v>60</v>
      </c>
      <c r="N376">
        <v>76</v>
      </c>
    </row>
    <row r="377" spans="1:14">
      <c r="A377" s="13" t="s">
        <v>693</v>
      </c>
      <c r="B377" s="14" t="s">
        <v>694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94</v>
      </c>
      <c r="M377">
        <v>74</v>
      </c>
      <c r="N377">
        <v>73</v>
      </c>
    </row>
    <row r="378" spans="1:14">
      <c r="A378" s="11" t="s">
        <v>695</v>
      </c>
      <c r="B378" s="12" t="s">
        <v>696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96</v>
      </c>
      <c r="M378">
        <v>70</v>
      </c>
      <c r="N378">
        <v>51</v>
      </c>
    </row>
    <row r="379" spans="1:14">
      <c r="A379" s="13" t="s">
        <v>697</v>
      </c>
      <c r="B379" s="14" t="s">
        <v>42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100</v>
      </c>
      <c r="M379">
        <v>80</v>
      </c>
      <c r="N379">
        <v>67</v>
      </c>
    </row>
    <row r="380" spans="1:14">
      <c r="A380" s="11" t="s">
        <v>698</v>
      </c>
      <c r="B380" s="12" t="s">
        <v>699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105</v>
      </c>
      <c r="M380">
        <v>58</v>
      </c>
      <c r="N380">
        <v>68</v>
      </c>
    </row>
    <row r="381" spans="1:14">
      <c r="A381" s="13"/>
      <c r="B381" s="14" t="s">
        <v>93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125</v>
      </c>
      <c r="M381">
        <v>53</v>
      </c>
      <c r="N381">
        <v>66</v>
      </c>
    </row>
    <row r="382" spans="1:14">
      <c r="A382" s="11" t="s">
        <v>700</v>
      </c>
      <c r="B382" s="12" t="s">
        <v>533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170</v>
      </c>
      <c r="M382">
        <v>56</v>
      </c>
      <c r="N382">
        <v>63</v>
      </c>
    </row>
    <row r="383" spans="1:14">
      <c r="A383" s="13" t="s">
        <v>701</v>
      </c>
      <c r="B383" s="14" t="s">
        <v>702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115</v>
      </c>
      <c r="M383">
        <v>70</v>
      </c>
      <c r="N383">
        <v>90</v>
      </c>
    </row>
    <row r="384" spans="1:14">
      <c r="A384" s="11" t="s">
        <v>703</v>
      </c>
      <c r="B384" s="12" t="s">
        <v>704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122</v>
      </c>
      <c r="M384">
        <v>64</v>
      </c>
      <c r="N384">
        <v>89</v>
      </c>
    </row>
    <row r="385" spans="1:14">
      <c r="A385" s="13" t="s">
        <v>705</v>
      </c>
      <c r="B385" s="14" t="s">
        <v>706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105</v>
      </c>
      <c r="M385">
        <v>88</v>
      </c>
      <c r="N385">
        <v>80</v>
      </c>
    </row>
    <row r="386" spans="1:14">
      <c r="A386" s="11" t="s">
        <v>707</v>
      </c>
      <c r="B386" s="12" t="s">
        <v>708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133</v>
      </c>
      <c r="M386">
        <v>66</v>
      </c>
      <c r="N386">
        <v>84</v>
      </c>
    </row>
    <row r="387" spans="1:14">
      <c r="A387" s="13" t="s">
        <v>709</v>
      </c>
      <c r="B387" s="14" t="s">
        <v>710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100</v>
      </c>
      <c r="M387">
        <v>79</v>
      </c>
      <c r="N387">
        <v>68</v>
      </c>
    </row>
    <row r="388" spans="1:14">
      <c r="A388" s="11" t="s">
        <v>711</v>
      </c>
      <c r="B388" s="12" t="s">
        <v>68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120</v>
      </c>
      <c r="M388">
        <v>82</v>
      </c>
      <c r="N388">
        <v>45</v>
      </c>
    </row>
    <row r="389" spans="1:14">
      <c r="A389" s="13" t="s">
        <v>712</v>
      </c>
      <c r="B389" s="14" t="s">
        <v>713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177</v>
      </c>
      <c r="M389">
        <v>25</v>
      </c>
      <c r="N389">
        <v>30</v>
      </c>
    </row>
    <row r="390" spans="1:14">
      <c r="A390" s="11" t="s">
        <v>714</v>
      </c>
      <c r="B390" s="12" t="s">
        <v>715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142</v>
      </c>
      <c r="M390">
        <v>64</v>
      </c>
      <c r="N390">
        <v>72</v>
      </c>
    </row>
    <row r="391" spans="1:14">
      <c r="A391" s="13" t="s">
        <v>716</v>
      </c>
      <c r="B391" s="14" t="s">
        <v>717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144</v>
      </c>
      <c r="M391">
        <v>57</v>
      </c>
      <c r="N391">
        <v>84</v>
      </c>
    </row>
    <row r="392" spans="1:14">
      <c r="A392" s="11" t="s">
        <v>718</v>
      </c>
      <c r="B392" s="12" t="s">
        <v>719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120</v>
      </c>
      <c r="M392">
        <v>65</v>
      </c>
      <c r="N392">
        <v>86</v>
      </c>
    </row>
    <row r="393" spans="1:14">
      <c r="A393" s="13" t="s">
        <v>720</v>
      </c>
      <c r="B393" s="14" t="s">
        <v>721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135</v>
      </c>
      <c r="M393">
        <v>92</v>
      </c>
      <c r="N393">
        <v>51</v>
      </c>
    </row>
    <row r="394" spans="1:14">
      <c r="A394" s="11" t="s">
        <v>722</v>
      </c>
      <c r="B394" s="12" t="s">
        <v>723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107</v>
      </c>
      <c r="M394">
        <v>81</v>
      </c>
      <c r="N394">
        <v>78</v>
      </c>
    </row>
    <row r="395" spans="1:14">
      <c r="A395" s="13" t="s">
        <v>724</v>
      </c>
      <c r="B395" s="14" t="s">
        <v>725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105</v>
      </c>
      <c r="M395">
        <v>82</v>
      </c>
      <c r="N395">
        <v>74</v>
      </c>
    </row>
    <row r="396" spans="1:14">
      <c r="A396" s="11" t="s">
        <v>726</v>
      </c>
      <c r="B396" s="12" t="s">
        <v>423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108</v>
      </c>
      <c r="M396">
        <v>44</v>
      </c>
      <c r="N396">
        <v>77</v>
      </c>
    </row>
    <row r="397" spans="1:14">
      <c r="A397" s="13" t="s">
        <v>727</v>
      </c>
      <c r="B397" s="14" t="s">
        <v>728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147</v>
      </c>
      <c r="M397">
        <v>51</v>
      </c>
      <c r="N397">
        <v>79</v>
      </c>
    </row>
    <row r="398" spans="1:14">
      <c r="A398" s="11" t="s">
        <v>729</v>
      </c>
      <c r="B398" s="12" t="s">
        <v>730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115</v>
      </c>
      <c r="M398">
        <v>71</v>
      </c>
      <c r="N398">
        <v>88</v>
      </c>
    </row>
    <row r="399" spans="1:14">
      <c r="A399" s="13" t="s">
        <v>731</v>
      </c>
      <c r="B399" s="14" t="s">
        <v>732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174</v>
      </c>
      <c r="M399">
        <v>70</v>
      </c>
      <c r="N399">
        <v>64</v>
      </c>
    </row>
    <row r="400" spans="1:14">
      <c r="A400" s="11" t="s">
        <v>733</v>
      </c>
      <c r="B400" s="12" t="s">
        <v>734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90</v>
      </c>
      <c r="M400">
        <v>68</v>
      </c>
      <c r="N400">
        <v>71</v>
      </c>
    </row>
    <row r="401" spans="1:14">
      <c r="A401" s="13" t="s">
        <v>735</v>
      </c>
      <c r="B401" s="14" t="s">
        <v>72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141</v>
      </c>
      <c r="M401">
        <v>41</v>
      </c>
      <c r="N401">
        <v>25</v>
      </c>
    </row>
    <row r="402" spans="1:14">
      <c r="A402" s="11" t="s">
        <v>736</v>
      </c>
      <c r="B402" s="12" t="s">
        <v>737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>
        <v>82</v>
      </c>
      <c r="M402">
        <v>68</v>
      </c>
      <c r="N402">
        <v>49</v>
      </c>
    </row>
    <row r="403" spans="1:14">
      <c r="A403" s="13" t="s">
        <v>738</v>
      </c>
      <c r="B403" s="14" t="s">
        <v>739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92</v>
      </c>
      <c r="M403">
        <v>47</v>
      </c>
      <c r="N403">
        <v>43</v>
      </c>
    </row>
    <row r="404" spans="1:14">
      <c r="A404" s="11" t="s">
        <v>740</v>
      </c>
      <c r="B404" s="12" t="s">
        <v>741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116</v>
      </c>
      <c r="M404">
        <v>77</v>
      </c>
      <c r="N404">
        <v>80</v>
      </c>
    </row>
    <row r="405" spans="1:14">
      <c r="A405" s="13" t="s">
        <v>742</v>
      </c>
      <c r="B405" s="14" t="s">
        <v>743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>
        <v>124</v>
      </c>
      <c r="M405">
        <v>79</v>
      </c>
      <c r="N405">
        <v>86</v>
      </c>
    </row>
    <row r="406" spans="1:14">
      <c r="A406" s="11" t="s">
        <v>744</v>
      </c>
      <c r="B406" s="12" t="s">
        <v>745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125</v>
      </c>
      <c r="M406">
        <v>71</v>
      </c>
      <c r="N406">
        <v>89</v>
      </c>
    </row>
    <row r="407" spans="1:14">
      <c r="A407" s="13" t="s">
        <v>746</v>
      </c>
      <c r="B407" s="14" t="s">
        <v>555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90</v>
      </c>
      <c r="M407">
        <v>80</v>
      </c>
      <c r="N407">
        <v>69</v>
      </c>
    </row>
    <row r="408" spans="1:14">
      <c r="A408" s="11" t="s">
        <v>747</v>
      </c>
      <c r="B408" s="12" t="s">
        <v>748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83</v>
      </c>
      <c r="M408">
        <v>46</v>
      </c>
      <c r="N408">
        <v>64</v>
      </c>
    </row>
    <row r="409" spans="1:14">
      <c r="A409" s="13" t="s">
        <v>749</v>
      </c>
      <c r="B409" s="14" t="s">
        <v>95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>
        <v>124</v>
      </c>
      <c r="M409">
        <v>79</v>
      </c>
      <c r="N409">
        <v>79</v>
      </c>
    </row>
    <row r="410" spans="1:14">
      <c r="A410" s="11" t="s">
        <v>750</v>
      </c>
      <c r="B410" s="12" t="s">
        <v>751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140</v>
      </c>
      <c r="M410">
        <v>58</v>
      </c>
      <c r="N410">
        <v>60</v>
      </c>
    </row>
    <row r="411" spans="1:14">
      <c r="A411" s="13" t="s">
        <v>752</v>
      </c>
      <c r="B411" s="14" t="s">
        <v>753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154</v>
      </c>
      <c r="M411">
        <v>64</v>
      </c>
      <c r="N411">
        <v>91</v>
      </c>
    </row>
    <row r="412" spans="1:14">
      <c r="A412" s="11" t="s">
        <v>754</v>
      </c>
      <c r="B412" s="12" t="s">
        <v>755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150</v>
      </c>
      <c r="M412">
        <v>74</v>
      </c>
      <c r="N412">
        <v>70</v>
      </c>
    </row>
    <row r="413" spans="1:14">
      <c r="A413" s="13" t="s">
        <v>756</v>
      </c>
      <c r="B413" s="14" t="s">
        <v>757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186</v>
      </c>
      <c r="M413">
        <v>41</v>
      </c>
      <c r="N413">
        <v>61</v>
      </c>
    </row>
    <row r="414" spans="1:14">
      <c r="A414" s="11" t="s">
        <v>758</v>
      </c>
      <c r="B414" s="12" t="s">
        <v>759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166</v>
      </c>
      <c r="M414">
        <v>40</v>
      </c>
      <c r="N414">
        <v>48</v>
      </c>
    </row>
    <row r="415" spans="1:14">
      <c r="A415" s="13" t="s">
        <v>760</v>
      </c>
      <c r="B415" s="14" t="s">
        <v>761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107</v>
      </c>
      <c r="M415">
        <v>87</v>
      </c>
      <c r="N415">
        <v>83</v>
      </c>
    </row>
    <row r="416" spans="1:14">
      <c r="A416" s="11" t="s">
        <v>762</v>
      </c>
      <c r="B416" s="12" t="s">
        <v>763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87</v>
      </c>
      <c r="M416">
        <v>87</v>
      </c>
      <c r="N416">
        <v>52</v>
      </c>
    </row>
    <row r="417" spans="1:14">
      <c r="A417" s="13" t="s">
        <v>764</v>
      </c>
      <c r="B417" s="14" t="s">
        <v>765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82</v>
      </c>
      <c r="M417">
        <v>40</v>
      </c>
      <c r="N417">
        <v>64</v>
      </c>
    </row>
    <row r="418" spans="1:14">
      <c r="A418" s="11" t="s">
        <v>766</v>
      </c>
      <c r="B418" s="12" t="s">
        <v>68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114</v>
      </c>
      <c r="M418">
        <v>46</v>
      </c>
      <c r="N418">
        <v>28</v>
      </c>
    </row>
    <row r="419" spans="1:14">
      <c r="A419" s="13" t="s">
        <v>125</v>
      </c>
      <c r="B419" s="14" t="s">
        <v>489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148</v>
      </c>
      <c r="M419">
        <v>47</v>
      </c>
      <c r="N419">
        <v>52</v>
      </c>
    </row>
    <row r="420" spans="1:14">
      <c r="A420" s="11" t="s">
        <v>767</v>
      </c>
      <c r="B420" s="12" t="s">
        <v>637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140</v>
      </c>
      <c r="M420">
        <v>91</v>
      </c>
      <c r="N420">
        <v>57</v>
      </c>
    </row>
    <row r="421" spans="1:14">
      <c r="A421" s="13" t="s">
        <v>768</v>
      </c>
      <c r="B421" s="14" t="s">
        <v>769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101</v>
      </c>
      <c r="M421">
        <v>90</v>
      </c>
      <c r="N421">
        <v>81</v>
      </c>
    </row>
    <row r="422" spans="1:14">
      <c r="A422" s="11" t="s">
        <v>770</v>
      </c>
      <c r="B422" s="12" t="s">
        <v>771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140</v>
      </c>
      <c r="M422">
        <v>81</v>
      </c>
      <c r="N422">
        <v>84</v>
      </c>
    </row>
    <row r="423" spans="1:14">
      <c r="A423" s="13" t="s">
        <v>772</v>
      </c>
      <c r="B423" s="14" t="s">
        <v>773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88</v>
      </c>
      <c r="M423">
        <v>49</v>
      </c>
      <c r="N423">
        <v>66</v>
      </c>
    </row>
    <row r="424" spans="1:14">
      <c r="A424" s="11" t="s">
        <v>774</v>
      </c>
      <c r="B424" s="12" t="s">
        <v>42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180</v>
      </c>
      <c r="M424">
        <v>64</v>
      </c>
      <c r="N424">
        <v>65</v>
      </c>
    </row>
    <row r="425" spans="1:14">
      <c r="A425" s="13" t="s">
        <v>775</v>
      </c>
      <c r="B425" s="14" t="s">
        <v>650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133</v>
      </c>
      <c r="M425">
        <v>95</v>
      </c>
      <c r="N425">
        <v>89</v>
      </c>
    </row>
    <row r="426" spans="1:14">
      <c r="A426" s="11" t="s">
        <v>776</v>
      </c>
      <c r="B426" s="12" t="s">
        <v>777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108</v>
      </c>
      <c r="M426">
        <v>63</v>
      </c>
      <c r="N426">
        <v>55</v>
      </c>
    </row>
    <row r="427" spans="1:14">
      <c r="A427" s="13" t="s">
        <v>778</v>
      </c>
      <c r="B427" s="14" t="s">
        <v>779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80</v>
      </c>
      <c r="M427">
        <v>39</v>
      </c>
      <c r="N427">
        <v>43</v>
      </c>
    </row>
    <row r="428" spans="1:14">
      <c r="A428" s="11" t="s">
        <v>780</v>
      </c>
      <c r="B428" s="12" t="s">
        <v>781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75</v>
      </c>
      <c r="M428">
        <v>80</v>
      </c>
      <c r="N428">
        <v>62</v>
      </c>
    </row>
    <row r="429" spans="1:14">
      <c r="A429" s="13" t="s">
        <v>782</v>
      </c>
      <c r="B429" s="14" t="s">
        <v>783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121</v>
      </c>
      <c r="M429">
        <v>67</v>
      </c>
      <c r="N429">
        <v>64</v>
      </c>
    </row>
    <row r="430" spans="1:14">
      <c r="A430" s="11" t="s">
        <v>784</v>
      </c>
      <c r="B430" s="12" t="s">
        <v>785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140</v>
      </c>
      <c r="M430">
        <v>58</v>
      </c>
      <c r="N430">
        <v>62</v>
      </c>
    </row>
    <row r="431" spans="1:14">
      <c r="A431" s="13" t="s">
        <v>786</v>
      </c>
      <c r="B431" s="14" t="s">
        <v>289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126</v>
      </c>
      <c r="M431">
        <v>81</v>
      </c>
      <c r="N431">
        <v>90</v>
      </c>
    </row>
    <row r="432" spans="1:14">
      <c r="A432" s="11" t="s">
        <v>787</v>
      </c>
      <c r="B432" s="12" t="s">
        <v>788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102</v>
      </c>
      <c r="M432">
        <v>58</v>
      </c>
      <c r="N432">
        <v>94</v>
      </c>
    </row>
    <row r="433" spans="1:14">
      <c r="A433" s="13" t="s">
        <v>789</v>
      </c>
      <c r="B433" s="14" t="s">
        <v>790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82</v>
      </c>
      <c r="M433">
        <v>70</v>
      </c>
      <c r="N433">
        <v>34</v>
      </c>
    </row>
    <row r="434" spans="1:14">
      <c r="A434" s="11" t="s">
        <v>791</v>
      </c>
      <c r="B434" s="12" t="s">
        <v>68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121</v>
      </c>
      <c r="M434">
        <v>46</v>
      </c>
      <c r="N434">
        <v>78</v>
      </c>
    </row>
    <row r="435" spans="1:14">
      <c r="A435" s="13" t="s">
        <v>792</v>
      </c>
      <c r="B435" s="14" t="s">
        <v>793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103</v>
      </c>
      <c r="M435">
        <v>70</v>
      </c>
      <c r="N435">
        <v>83</v>
      </c>
    </row>
    <row r="436" spans="1:14">
      <c r="A436" s="11" t="s">
        <v>794</v>
      </c>
      <c r="B436" s="12" t="s">
        <v>795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108</v>
      </c>
      <c r="M436">
        <v>82</v>
      </c>
      <c r="N436">
        <v>76</v>
      </c>
    </row>
    <row r="437" spans="1:14">
      <c r="A437" s="13" t="s">
        <v>796</v>
      </c>
      <c r="B437" s="14" t="s">
        <v>382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85</v>
      </c>
      <c r="M437">
        <v>65</v>
      </c>
      <c r="N437">
        <v>47</v>
      </c>
    </row>
    <row r="438" spans="1:14">
      <c r="A438" s="11" t="s">
        <v>797</v>
      </c>
      <c r="B438" s="12" t="s">
        <v>798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125</v>
      </c>
      <c r="M438">
        <v>84</v>
      </c>
      <c r="N438">
        <v>69</v>
      </c>
    </row>
    <row r="439" spans="1:14">
      <c r="A439" s="13" t="s">
        <v>799</v>
      </c>
      <c r="B439" s="14" t="s">
        <v>39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120</v>
      </c>
      <c r="M439">
        <v>69</v>
      </c>
      <c r="N439">
        <v>39</v>
      </c>
    </row>
    <row r="440" spans="1:14">
      <c r="A440" s="11" t="s">
        <v>800</v>
      </c>
      <c r="B440" s="12" t="s">
        <v>801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94</v>
      </c>
      <c r="M440">
        <v>58</v>
      </c>
      <c r="N440">
        <v>57</v>
      </c>
    </row>
    <row r="441" spans="1:14">
      <c r="A441" s="13" t="s">
        <v>802</v>
      </c>
      <c r="B441" s="14" t="s">
        <v>803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130</v>
      </c>
      <c r="M441">
        <v>65</v>
      </c>
      <c r="N441">
        <v>80</v>
      </c>
    </row>
    <row r="442" spans="1:14">
      <c r="A442" s="11" t="s">
        <v>804</v>
      </c>
      <c r="B442" s="12" t="s">
        <v>805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>
        <v>110</v>
      </c>
      <c r="M442">
        <v>74</v>
      </c>
      <c r="N442">
        <v>74</v>
      </c>
    </row>
    <row r="443" spans="1:14">
      <c r="A443" s="13" t="s">
        <v>806</v>
      </c>
      <c r="B443" s="14" t="s">
        <v>807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>
        <v>150</v>
      </c>
      <c r="M443">
        <v>34</v>
      </c>
      <c r="N443">
        <v>63</v>
      </c>
    </row>
    <row r="444" spans="1:14">
      <c r="A444" s="11" t="s">
        <v>808</v>
      </c>
      <c r="B444" s="12" t="s">
        <v>809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>
        <v>107</v>
      </c>
      <c r="M444">
        <v>74</v>
      </c>
      <c r="N444">
        <v>65</v>
      </c>
    </row>
    <row r="445" spans="1:14">
      <c r="A445" s="13" t="s">
        <v>810</v>
      </c>
      <c r="B445" s="14" t="s">
        <v>811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140</v>
      </c>
      <c r="M445">
        <v>70</v>
      </c>
      <c r="N445">
        <v>41</v>
      </c>
    </row>
    <row r="446" spans="1:14">
      <c r="A446" s="11" t="s">
        <v>812</v>
      </c>
      <c r="B446" s="12" t="s">
        <v>813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119</v>
      </c>
      <c r="M446">
        <v>74</v>
      </c>
      <c r="N446">
        <v>37</v>
      </c>
    </row>
    <row r="447" spans="1:14">
      <c r="A447" s="13" t="s">
        <v>814</v>
      </c>
      <c r="B447" s="14" t="s">
        <v>815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93</v>
      </c>
      <c r="M447">
        <v>35</v>
      </c>
      <c r="N447">
        <v>23</v>
      </c>
    </row>
    <row r="448" spans="1:14">
      <c r="A448" s="11" t="s">
        <v>816</v>
      </c>
      <c r="B448" s="12" t="s">
        <v>817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133</v>
      </c>
      <c r="M448">
        <v>46</v>
      </c>
      <c r="N448">
        <v>63</v>
      </c>
    </row>
    <row r="449" spans="1:14">
      <c r="A449" s="13" t="s">
        <v>818</v>
      </c>
      <c r="B449" s="14" t="s">
        <v>819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202</v>
      </c>
      <c r="M449">
        <v>24</v>
      </c>
      <c r="N449">
        <v>60</v>
      </c>
    </row>
    <row r="450" spans="1:14">
      <c r="A450" s="11" t="s">
        <v>820</v>
      </c>
      <c r="B450" s="12" t="s">
        <v>821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134</v>
      </c>
      <c r="M450">
        <v>45</v>
      </c>
      <c r="N450">
        <v>24</v>
      </c>
    </row>
    <row r="451" spans="1:14">
      <c r="A451" s="13" t="s">
        <v>822</v>
      </c>
      <c r="B451" s="14" t="s">
        <v>472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105</v>
      </c>
      <c r="M451">
        <v>72</v>
      </c>
      <c r="N451">
        <v>51</v>
      </c>
    </row>
    <row r="452" spans="1:14">
      <c r="A452" s="11" t="s">
        <v>823</v>
      </c>
      <c r="B452" s="12" t="s">
        <v>824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160</v>
      </c>
      <c r="M452">
        <v>51</v>
      </c>
      <c r="N452">
        <v>81</v>
      </c>
    </row>
    <row r="453" spans="1:14">
      <c r="A453" s="13" t="s">
        <v>825</v>
      </c>
      <c r="B453" s="14" t="s">
        <v>826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148</v>
      </c>
      <c r="M453">
        <v>50</v>
      </c>
      <c r="N453">
        <v>82</v>
      </c>
    </row>
    <row r="454" spans="1:14">
      <c r="A454" s="11" t="s">
        <v>827</v>
      </c>
      <c r="B454" s="12" t="s">
        <v>815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151</v>
      </c>
      <c r="M454">
        <v>65</v>
      </c>
      <c r="N454">
        <v>47</v>
      </c>
    </row>
    <row r="455" spans="1:14">
      <c r="A455" s="13" t="s">
        <v>828</v>
      </c>
      <c r="B455" s="14" t="s">
        <v>324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162</v>
      </c>
      <c r="M455">
        <v>67</v>
      </c>
      <c r="N455">
        <v>54</v>
      </c>
    </row>
    <row r="456" spans="1:14">
      <c r="A456" s="11" t="s">
        <v>829</v>
      </c>
      <c r="B456" s="12" t="s">
        <v>830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92</v>
      </c>
      <c r="M456">
        <v>53</v>
      </c>
      <c r="N456">
        <v>77</v>
      </c>
    </row>
    <row r="457" spans="1:14">
      <c r="A457" s="13" t="s">
        <v>831</v>
      </c>
      <c r="B457" s="14" t="s">
        <v>68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152</v>
      </c>
      <c r="M457">
        <v>65</v>
      </c>
      <c r="N457">
        <v>65</v>
      </c>
    </row>
    <row r="458" spans="1:14">
      <c r="A458" s="11" t="s">
        <v>832</v>
      </c>
      <c r="B458" s="12" t="s">
        <v>68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65</v>
      </c>
      <c r="M458">
        <v>71</v>
      </c>
      <c r="N458">
        <v>26</v>
      </c>
    </row>
    <row r="459" spans="1:14">
      <c r="A459" s="13" t="s">
        <v>833</v>
      </c>
      <c r="B459" s="14" t="s">
        <v>834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147</v>
      </c>
      <c r="M459">
        <v>33</v>
      </c>
      <c r="N459">
        <v>61</v>
      </c>
    </row>
    <row r="460" spans="1:14">
      <c r="A460" s="11" t="s">
        <v>835</v>
      </c>
      <c r="B460" s="12" t="s">
        <v>836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150</v>
      </c>
      <c r="M460">
        <v>73</v>
      </c>
      <c r="N460">
        <v>69</v>
      </c>
    </row>
    <row r="461" spans="1:14">
      <c r="A461" s="13" t="s">
        <v>837</v>
      </c>
      <c r="B461" s="14" t="s">
        <v>838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140</v>
      </c>
      <c r="M461">
        <v>67</v>
      </c>
      <c r="N461">
        <v>36</v>
      </c>
    </row>
    <row r="462" spans="1:14">
      <c r="A462" s="11" t="s">
        <v>839</v>
      </c>
      <c r="B462" s="12" t="s">
        <v>840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139</v>
      </c>
      <c r="M462">
        <v>36</v>
      </c>
      <c r="N462">
        <v>15</v>
      </c>
    </row>
    <row r="463" spans="1:14">
      <c r="A463" s="13" t="s">
        <v>841</v>
      </c>
      <c r="B463" s="14" t="s">
        <v>842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95</v>
      </c>
      <c r="M463">
        <v>75</v>
      </c>
      <c r="N463">
        <v>58</v>
      </c>
    </row>
    <row r="464" spans="1:14">
      <c r="A464" s="11" t="s">
        <v>843</v>
      </c>
      <c r="B464" s="12" t="s">
        <v>844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115</v>
      </c>
      <c r="M464">
        <v>60</v>
      </c>
      <c r="N464">
        <v>57</v>
      </c>
    </row>
    <row r="465" spans="1:14">
      <c r="A465" s="13" t="s">
        <v>845</v>
      </c>
      <c r="B465" s="14" t="s">
        <v>846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125</v>
      </c>
      <c r="M465">
        <v>62</v>
      </c>
      <c r="N465">
        <v>43</v>
      </c>
    </row>
    <row r="466" spans="1:14">
      <c r="A466" s="11" t="s">
        <v>847</v>
      </c>
      <c r="B466" s="12" t="s">
        <v>68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76</v>
      </c>
      <c r="M466">
        <v>60</v>
      </c>
      <c r="N466">
        <v>20</v>
      </c>
    </row>
    <row r="467" spans="1:14">
      <c r="A467" s="13" t="s">
        <v>848</v>
      </c>
      <c r="B467" s="14" t="s">
        <v>849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101</v>
      </c>
      <c r="M467">
        <v>72</v>
      </c>
      <c r="N467">
        <v>87</v>
      </c>
    </row>
    <row r="468" spans="1:14">
      <c r="A468" s="11" t="s">
        <v>820</v>
      </c>
      <c r="B468" s="12" t="s">
        <v>850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143</v>
      </c>
      <c r="M468">
        <v>60</v>
      </c>
      <c r="N468">
        <v>32</v>
      </c>
    </row>
    <row r="469" spans="1:14">
      <c r="A469" s="13" t="s">
        <v>851</v>
      </c>
      <c r="B469" s="14" t="s">
        <v>68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119</v>
      </c>
      <c r="M469">
        <v>51</v>
      </c>
      <c r="N469">
        <v>66</v>
      </c>
    </row>
    <row r="470" spans="1:14">
      <c r="A470" s="11" t="s">
        <v>852</v>
      </c>
      <c r="B470" s="12" t="s">
        <v>853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78</v>
      </c>
      <c r="M470">
        <v>67</v>
      </c>
      <c r="N470">
        <v>59</v>
      </c>
    </row>
    <row r="471" spans="1:14">
      <c r="A471" s="13" t="s">
        <v>854</v>
      </c>
      <c r="B471" s="14" t="s">
        <v>855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96</v>
      </c>
      <c r="M471">
        <v>23</v>
      </c>
      <c r="N471">
        <v>25</v>
      </c>
    </row>
    <row r="472" spans="1:14">
      <c r="A472" s="11" t="s">
        <v>856</v>
      </c>
      <c r="B472" s="12" t="s">
        <v>857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180</v>
      </c>
      <c r="M472">
        <v>51</v>
      </c>
      <c r="N472">
        <v>58</v>
      </c>
    </row>
    <row r="473" spans="1:14">
      <c r="A473" s="13" t="s">
        <v>858</v>
      </c>
      <c r="B473" s="14" t="s">
        <v>859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126</v>
      </c>
      <c r="M473">
        <v>34</v>
      </c>
      <c r="N473">
        <v>76</v>
      </c>
    </row>
    <row r="474" spans="1:14">
      <c r="A474" s="11" t="s">
        <v>860</v>
      </c>
      <c r="B474" s="12" t="s">
        <v>68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150</v>
      </c>
      <c r="M474">
        <v>43</v>
      </c>
      <c r="N474">
        <v>44</v>
      </c>
    </row>
    <row r="475" spans="1:14">
      <c r="A475" s="13" t="s">
        <v>861</v>
      </c>
      <c r="B475" s="14" t="s">
        <v>68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90</v>
      </c>
      <c r="M475">
        <v>53</v>
      </c>
      <c r="N475">
        <v>74</v>
      </c>
    </row>
    <row r="476" spans="1:14">
      <c r="A476" s="11" t="s">
        <v>862</v>
      </c>
      <c r="B476" s="12" t="s">
        <v>68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160</v>
      </c>
      <c r="M476">
        <v>72</v>
      </c>
      <c r="N476">
        <v>68</v>
      </c>
    </row>
    <row r="477" spans="1:14">
      <c r="A477" s="13" t="s">
        <v>863</v>
      </c>
      <c r="B477" s="14" t="s">
        <v>864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114</v>
      </c>
      <c r="M477">
        <v>59</v>
      </c>
      <c r="N477">
        <v>94</v>
      </c>
    </row>
    <row r="478" spans="1:14">
      <c r="A478" s="11" t="s">
        <v>865</v>
      </c>
      <c r="B478" s="12" t="s">
        <v>866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113</v>
      </c>
      <c r="M478">
        <v>73</v>
      </c>
      <c r="N478">
        <v>32</v>
      </c>
    </row>
    <row r="479" spans="1:14">
      <c r="A479" s="13" t="s">
        <v>867</v>
      </c>
      <c r="B479" s="14" t="s">
        <v>868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147</v>
      </c>
      <c r="M479">
        <v>67</v>
      </c>
      <c r="N479">
        <v>72</v>
      </c>
    </row>
    <row r="480" spans="1:14">
      <c r="A480" s="11" t="s">
        <v>869</v>
      </c>
      <c r="B480" s="12" t="s">
        <v>870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100</v>
      </c>
      <c r="M480">
        <v>70</v>
      </c>
      <c r="N480">
        <v>59</v>
      </c>
    </row>
    <row r="481" spans="1:14">
      <c r="A481" s="13" t="s">
        <v>871</v>
      </c>
      <c r="B481" s="14" t="s">
        <v>872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155</v>
      </c>
      <c r="M481">
        <v>49</v>
      </c>
      <c r="N481">
        <v>77</v>
      </c>
    </row>
    <row r="482" spans="1:14">
      <c r="A482" s="11" t="s">
        <v>873</v>
      </c>
      <c r="B482" s="12" t="s">
        <v>68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107</v>
      </c>
      <c r="M482">
        <v>54</v>
      </c>
      <c r="N482">
        <v>39</v>
      </c>
    </row>
    <row r="483" spans="1:14">
      <c r="A483" s="13" t="s">
        <v>874</v>
      </c>
      <c r="B483" s="14" t="s">
        <v>875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112</v>
      </c>
      <c r="M483">
        <v>80</v>
      </c>
      <c r="N483">
        <v>54</v>
      </c>
    </row>
    <row r="484" spans="1:14">
      <c r="A484" s="11" t="s">
        <v>643</v>
      </c>
      <c r="B484" s="12" t="s">
        <v>644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166</v>
      </c>
      <c r="M484">
        <v>70</v>
      </c>
      <c r="N484">
        <v>57</v>
      </c>
    </row>
    <row r="485" spans="1:14">
      <c r="A485" s="13" t="s">
        <v>876</v>
      </c>
      <c r="B485" s="14" t="s">
        <v>840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107</v>
      </c>
      <c r="M485">
        <v>69</v>
      </c>
      <c r="N485">
        <v>36</v>
      </c>
    </row>
    <row r="486" spans="1:14">
      <c r="A486" s="11" t="s">
        <v>877</v>
      </c>
      <c r="B486" s="12" t="s">
        <v>68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81</v>
      </c>
      <c r="M486">
        <v>47</v>
      </c>
      <c r="N486">
        <v>68</v>
      </c>
    </row>
    <row r="487" spans="1:14">
      <c r="A487" s="13" t="s">
        <v>878</v>
      </c>
      <c r="B487" s="14" t="s">
        <v>68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150</v>
      </c>
      <c r="M487">
        <v>79</v>
      </c>
      <c r="N487">
        <v>46</v>
      </c>
    </row>
    <row r="488" spans="1:14">
      <c r="A488" s="11" t="s">
        <v>879</v>
      </c>
      <c r="B488" s="12" t="s">
        <v>880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110</v>
      </c>
      <c r="M488">
        <v>66</v>
      </c>
      <c r="N488">
        <v>32</v>
      </c>
    </row>
    <row r="489" spans="1:14">
      <c r="A489" s="13" t="s">
        <v>881</v>
      </c>
      <c r="B489" s="14" t="s">
        <v>39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108</v>
      </c>
      <c r="M489">
        <v>64</v>
      </c>
      <c r="N489">
        <v>40</v>
      </c>
    </row>
    <row r="490" spans="1:14">
      <c r="A490" s="11" t="s">
        <v>882</v>
      </c>
      <c r="B490" s="12" t="s">
        <v>883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130</v>
      </c>
      <c r="M490">
        <v>89</v>
      </c>
      <c r="N490">
        <v>74</v>
      </c>
    </row>
    <row r="491" spans="1:14">
      <c r="A491" s="13" t="s">
        <v>884</v>
      </c>
      <c r="B491" s="14" t="s">
        <v>39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164</v>
      </c>
      <c r="M491">
        <v>70</v>
      </c>
      <c r="N491">
        <v>56</v>
      </c>
    </row>
    <row r="492" spans="1:14">
      <c r="A492" s="11" t="s">
        <v>885</v>
      </c>
      <c r="B492" s="12" t="s">
        <v>886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114</v>
      </c>
      <c r="M492">
        <v>80</v>
      </c>
      <c r="N492">
        <v>68</v>
      </c>
    </row>
    <row r="493" spans="1:14">
      <c r="A493" s="13" t="s">
        <v>887</v>
      </c>
      <c r="B493" s="14" t="s">
        <v>888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93</v>
      </c>
      <c r="M493">
        <v>63</v>
      </c>
      <c r="N493">
        <v>88</v>
      </c>
    </row>
    <row r="494" spans="1:14">
      <c r="A494" s="11" t="s">
        <v>889</v>
      </c>
      <c r="B494" s="12" t="s">
        <v>890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90</v>
      </c>
      <c r="M494">
        <v>87</v>
      </c>
      <c r="N494">
        <v>69</v>
      </c>
    </row>
    <row r="495" spans="1:14">
      <c r="A495" s="13" t="s">
        <v>891</v>
      </c>
      <c r="B495" s="14" t="s">
        <v>68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128</v>
      </c>
      <c r="M495">
        <v>45</v>
      </c>
      <c r="N495">
        <v>68</v>
      </c>
    </row>
    <row r="496" spans="1:14">
      <c r="A496" s="11" t="s">
        <v>892</v>
      </c>
      <c r="B496" s="12" t="s">
        <v>893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97</v>
      </c>
      <c r="M496">
        <v>83</v>
      </c>
      <c r="N496">
        <v>80</v>
      </c>
    </row>
    <row r="497" spans="1:14">
      <c r="A497" s="13" t="s">
        <v>894</v>
      </c>
      <c r="B497" s="14" t="s">
        <v>895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152</v>
      </c>
      <c r="M497">
        <v>69</v>
      </c>
      <c r="N497">
        <v>71</v>
      </c>
    </row>
    <row r="498" spans="1:14">
      <c r="A498" s="11" t="s">
        <v>896</v>
      </c>
      <c r="B498" s="12" t="s">
        <v>897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175</v>
      </c>
      <c r="M498">
        <v>51</v>
      </c>
      <c r="N498">
        <v>34</v>
      </c>
    </row>
    <row r="499" spans="1:14">
      <c r="A499" s="13" t="s">
        <v>898</v>
      </c>
      <c r="B499" s="14" t="s">
        <v>68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116</v>
      </c>
      <c r="M499">
        <v>61</v>
      </c>
      <c r="N499">
        <v>55</v>
      </c>
    </row>
    <row r="500" spans="1:14">
      <c r="A500" s="11" t="s">
        <v>899</v>
      </c>
      <c r="B500" s="12" t="s">
        <v>900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80</v>
      </c>
      <c r="M500">
        <v>33</v>
      </c>
      <c r="N500">
        <v>59</v>
      </c>
    </row>
    <row r="501" spans="1:14">
      <c r="A501" s="13" t="s">
        <v>901</v>
      </c>
      <c r="B501" s="14" t="s">
        <v>902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93</v>
      </c>
      <c r="M501">
        <v>63</v>
      </c>
      <c r="N501">
        <v>86</v>
      </c>
    </row>
    <row r="502" spans="1:14">
      <c r="A502" s="11" t="s">
        <v>903</v>
      </c>
      <c r="B502" s="12" t="s">
        <v>904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122</v>
      </c>
      <c r="M502">
        <v>70</v>
      </c>
      <c r="N502">
        <v>54</v>
      </c>
    </row>
    <row r="503" spans="1:14">
      <c r="A503" s="13" t="s">
        <v>905</v>
      </c>
      <c r="B503" s="14" t="s">
        <v>126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122</v>
      </c>
      <c r="M503">
        <v>70</v>
      </c>
      <c r="N503">
        <v>79</v>
      </c>
    </row>
    <row r="504" spans="1:14">
      <c r="A504" s="11" t="s">
        <v>906</v>
      </c>
      <c r="B504" s="12" t="s">
        <v>126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135</v>
      </c>
      <c r="M504">
        <v>70</v>
      </c>
      <c r="N504">
        <v>58</v>
      </c>
    </row>
    <row r="505" spans="1:14">
      <c r="A505" s="13" t="s">
        <v>907</v>
      </c>
      <c r="B505" s="14" t="s">
        <v>908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109</v>
      </c>
      <c r="M505">
        <v>60</v>
      </c>
      <c r="N505">
        <v>47</v>
      </c>
    </row>
    <row r="506" spans="1:14">
      <c r="A506" s="11" t="s">
        <v>909</v>
      </c>
      <c r="B506" s="12" t="s">
        <v>126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93</v>
      </c>
      <c r="M506">
        <v>65</v>
      </c>
      <c r="N506">
        <v>74</v>
      </c>
    </row>
    <row r="507" spans="1:14">
      <c r="A507" s="13" t="s">
        <v>910</v>
      </c>
      <c r="B507" s="14" t="s">
        <v>911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125</v>
      </c>
      <c r="M507">
        <v>85</v>
      </c>
      <c r="N507">
        <v>81</v>
      </c>
    </row>
    <row r="508" spans="1:14">
      <c r="A508" s="11" t="s">
        <v>912</v>
      </c>
      <c r="B508" s="12" t="s">
        <v>913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206</v>
      </c>
      <c r="M508">
        <v>58</v>
      </c>
      <c r="N508">
        <v>45</v>
      </c>
    </row>
    <row r="509" spans="1:14">
      <c r="A509" s="13" t="s">
        <v>914</v>
      </c>
      <c r="B509" s="14" t="s">
        <v>915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130</v>
      </c>
      <c r="M509">
        <v>76</v>
      </c>
      <c r="N509">
        <v>77</v>
      </c>
    </row>
    <row r="510" spans="1:14">
      <c r="A510" s="11" t="s">
        <v>916</v>
      </c>
      <c r="B510" s="12" t="s">
        <v>126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121</v>
      </c>
      <c r="M510">
        <v>80</v>
      </c>
      <c r="N510">
        <v>51</v>
      </c>
    </row>
    <row r="511" spans="1:14">
      <c r="A511" s="13" t="s">
        <v>917</v>
      </c>
      <c r="B511" s="14" t="s">
        <v>126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123</v>
      </c>
      <c r="M511">
        <v>74</v>
      </c>
      <c r="N511">
        <v>73</v>
      </c>
    </row>
    <row r="512" spans="1:14">
      <c r="A512" s="11" t="s">
        <v>918</v>
      </c>
      <c r="B512" s="12" t="s">
        <v>919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122</v>
      </c>
      <c r="M512">
        <v>67</v>
      </c>
      <c r="N512">
        <v>67</v>
      </c>
    </row>
    <row r="513" spans="1:14">
      <c r="A513" s="13" t="s">
        <v>920</v>
      </c>
      <c r="B513" s="14" t="s">
        <v>126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143</v>
      </c>
      <c r="M513">
        <v>53</v>
      </c>
      <c r="N513">
        <v>79</v>
      </c>
    </row>
    <row r="514" spans="1:14">
      <c r="A514" s="11" t="s">
        <v>921</v>
      </c>
      <c r="B514" s="12" t="s">
        <v>126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121</v>
      </c>
      <c r="M514">
        <v>70</v>
      </c>
      <c r="N514">
        <v>77</v>
      </c>
    </row>
    <row r="515" spans="1:14">
      <c r="A515" s="13" t="s">
        <v>922</v>
      </c>
      <c r="B515" s="14" t="s">
        <v>36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166</v>
      </c>
      <c r="M515">
        <v>56</v>
      </c>
      <c r="N515">
        <v>66</v>
      </c>
    </row>
    <row r="516" spans="1:14">
      <c r="A516" s="11" t="s">
        <v>923</v>
      </c>
      <c r="B516" s="12" t="s">
        <v>924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135</v>
      </c>
      <c r="M516">
        <v>41</v>
      </c>
      <c r="N516">
        <v>64</v>
      </c>
    </row>
    <row r="517" spans="1:14">
      <c r="A517" s="13" t="s">
        <v>925</v>
      </c>
      <c r="B517" s="14" t="s">
        <v>126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87</v>
      </c>
      <c r="M517">
        <v>49</v>
      </c>
      <c r="N517">
        <v>59</v>
      </c>
    </row>
    <row r="518" spans="1:14">
      <c r="A518" s="11" t="s">
        <v>926</v>
      </c>
      <c r="B518" s="12" t="s">
        <v>927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111</v>
      </c>
      <c r="M518">
        <v>77</v>
      </c>
      <c r="N518">
        <v>66</v>
      </c>
    </row>
    <row r="519" spans="1:14">
      <c r="A519" s="13" t="s">
        <v>928</v>
      </c>
      <c r="B519" s="14" t="s">
        <v>929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110</v>
      </c>
      <c r="M519">
        <v>75</v>
      </c>
      <c r="N519">
        <v>84</v>
      </c>
    </row>
    <row r="520" spans="1:14">
      <c r="A520" s="11" t="s">
        <v>930</v>
      </c>
      <c r="B520" s="12" t="s">
        <v>795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130</v>
      </c>
      <c r="M520">
        <v>66</v>
      </c>
      <c r="N520">
        <v>61</v>
      </c>
    </row>
    <row r="521" spans="1:14">
      <c r="A521" s="13" t="s">
        <v>931</v>
      </c>
      <c r="B521" s="14" t="s">
        <v>715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179</v>
      </c>
      <c r="M521">
        <v>61</v>
      </c>
      <c r="N521">
        <v>51</v>
      </c>
    </row>
    <row r="522" spans="1:14">
      <c r="A522" s="11" t="s">
        <v>932</v>
      </c>
      <c r="B522" s="12" t="s">
        <v>933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93</v>
      </c>
      <c r="M522">
        <v>74</v>
      </c>
      <c r="N522">
        <v>73</v>
      </c>
    </row>
    <row r="523" spans="1:14">
      <c r="A523" s="13" t="s">
        <v>934</v>
      </c>
      <c r="B523" s="14" t="s">
        <v>126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78</v>
      </c>
      <c r="M523">
        <v>27</v>
      </c>
      <c r="N523">
        <v>49</v>
      </c>
    </row>
    <row r="524" spans="1:14">
      <c r="A524" s="11" t="s">
        <v>935</v>
      </c>
      <c r="B524" s="12" t="s">
        <v>936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180</v>
      </c>
      <c r="M524">
        <v>65</v>
      </c>
      <c r="N524">
        <v>58</v>
      </c>
    </row>
    <row r="525" spans="1:14">
      <c r="A525" s="13" t="s">
        <v>937</v>
      </c>
      <c r="B525" s="14" t="s">
        <v>126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86</v>
      </c>
      <c r="M525">
        <v>28</v>
      </c>
      <c r="N525">
        <v>41</v>
      </c>
    </row>
    <row r="526" spans="1:14">
      <c r="A526" s="11" t="s">
        <v>938</v>
      </c>
      <c r="B526" s="12" t="s">
        <v>715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88</v>
      </c>
      <c r="M526">
        <v>74</v>
      </c>
      <c r="N526">
        <v>85</v>
      </c>
    </row>
    <row r="527" spans="1:14">
      <c r="A527" s="13" t="s">
        <v>939</v>
      </c>
      <c r="B527" s="14" t="s">
        <v>940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97</v>
      </c>
      <c r="M527">
        <v>68</v>
      </c>
      <c r="N527">
        <v>78</v>
      </c>
    </row>
    <row r="528" spans="1:14">
      <c r="A528" s="11" t="s">
        <v>941</v>
      </c>
      <c r="B528" s="12" t="s">
        <v>942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134</v>
      </c>
      <c r="M528">
        <v>71</v>
      </c>
      <c r="N528">
        <v>80</v>
      </c>
    </row>
    <row r="529" spans="1:14">
      <c r="A529" s="13" t="s">
        <v>943</v>
      </c>
      <c r="B529" s="14" t="s">
        <v>944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116</v>
      </c>
      <c r="M529">
        <v>75</v>
      </c>
      <c r="N529">
        <v>76</v>
      </c>
    </row>
    <row r="530" spans="1:14">
      <c r="A530" s="11" t="s">
        <v>945</v>
      </c>
      <c r="B530" s="12" t="s">
        <v>946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170</v>
      </c>
      <c r="M530">
        <v>64</v>
      </c>
      <c r="N530">
        <v>70</v>
      </c>
    </row>
    <row r="531" spans="1:14">
      <c r="A531" s="13" t="s">
        <v>947</v>
      </c>
      <c r="B531" s="14" t="s">
        <v>948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140</v>
      </c>
      <c r="M531">
        <v>83</v>
      </c>
      <c r="N531">
        <v>55</v>
      </c>
    </row>
    <row r="532" spans="1:14">
      <c r="A532" s="11" t="s">
        <v>949</v>
      </c>
      <c r="B532" s="12" t="s">
        <v>950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118</v>
      </c>
      <c r="M532">
        <v>75</v>
      </c>
      <c r="N532">
        <v>76</v>
      </c>
    </row>
    <row r="533" spans="1:14">
      <c r="A533" s="13" t="s">
        <v>951</v>
      </c>
      <c r="B533" s="14" t="s">
        <v>72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65</v>
      </c>
      <c r="M533">
        <v>31</v>
      </c>
      <c r="N533">
        <v>24</v>
      </c>
    </row>
    <row r="534" spans="1:14">
      <c r="A534" s="11" t="s">
        <v>952</v>
      </c>
      <c r="B534" s="12" t="s">
        <v>953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120</v>
      </c>
      <c r="M534">
        <v>56</v>
      </c>
      <c r="N534">
        <v>67</v>
      </c>
    </row>
    <row r="535" spans="1:14">
      <c r="A535" s="13" t="s">
        <v>954</v>
      </c>
      <c r="B535" s="14" t="s">
        <v>955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176</v>
      </c>
      <c r="M535">
        <v>29</v>
      </c>
      <c r="N535">
        <v>33</v>
      </c>
    </row>
    <row r="536" spans="1:14">
      <c r="A536" s="11" t="s">
        <v>956</v>
      </c>
      <c r="B536" s="12" t="s">
        <v>957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180</v>
      </c>
      <c r="M536">
        <v>59</v>
      </c>
      <c r="N536">
        <v>61</v>
      </c>
    </row>
    <row r="537" spans="1:14">
      <c r="A537" s="13" t="s">
        <v>958</v>
      </c>
      <c r="B537" s="14" t="s">
        <v>36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144</v>
      </c>
      <c r="M537">
        <v>59</v>
      </c>
      <c r="N537">
        <v>43</v>
      </c>
    </row>
    <row r="538" spans="1:14">
      <c r="A538" s="11" t="s">
        <v>959</v>
      </c>
      <c r="B538" s="12" t="s">
        <v>960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133</v>
      </c>
      <c r="M538">
        <v>82</v>
      </c>
      <c r="N538">
        <v>61</v>
      </c>
    </row>
    <row r="539" spans="1:14">
      <c r="A539" s="13" t="s">
        <v>961</v>
      </c>
      <c r="B539" s="14" t="s">
        <v>39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93</v>
      </c>
      <c r="M539">
        <v>63</v>
      </c>
      <c r="N539">
        <v>52</v>
      </c>
    </row>
    <row r="540" spans="1:14">
      <c r="A540" s="11" t="s">
        <v>962</v>
      </c>
      <c r="B540" s="12" t="s">
        <v>126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122</v>
      </c>
      <c r="M540">
        <v>77</v>
      </c>
      <c r="N540">
        <v>62</v>
      </c>
    </row>
    <row r="541" spans="1:14">
      <c r="A541" s="13" t="s">
        <v>963</v>
      </c>
      <c r="B541" s="14" t="s">
        <v>240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88</v>
      </c>
      <c r="M541">
        <v>53</v>
      </c>
      <c r="N541">
        <v>73</v>
      </c>
    </row>
    <row r="542" spans="1:14">
      <c r="A542" s="11" t="s">
        <v>964</v>
      </c>
      <c r="B542" s="12" t="s">
        <v>965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170</v>
      </c>
      <c r="M542">
        <v>70</v>
      </c>
      <c r="N542">
        <v>44</v>
      </c>
    </row>
    <row r="543" spans="1:14">
      <c r="A543" s="13" t="s">
        <v>966</v>
      </c>
      <c r="B543" s="14" t="s">
        <v>126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94</v>
      </c>
      <c r="M543">
        <v>46</v>
      </c>
      <c r="N543">
        <v>50</v>
      </c>
    </row>
    <row r="544" spans="1:14">
      <c r="A544" s="11" t="s">
        <v>967</v>
      </c>
      <c r="B544" s="12" t="s">
        <v>968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170</v>
      </c>
      <c r="M544">
        <v>65</v>
      </c>
      <c r="N544">
        <v>47</v>
      </c>
    </row>
    <row r="545" spans="1:14">
      <c r="A545" s="13" t="s">
        <v>969</v>
      </c>
      <c r="B545" s="14" t="s">
        <v>970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90</v>
      </c>
      <c r="M545">
        <v>79</v>
      </c>
      <c r="N545">
        <v>70</v>
      </c>
    </row>
    <row r="546" spans="1:14">
      <c r="A546" s="11" t="s">
        <v>971</v>
      </c>
      <c r="B546" s="12" t="s">
        <v>972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78</v>
      </c>
      <c r="M546">
        <v>40</v>
      </c>
      <c r="N546">
        <v>29</v>
      </c>
    </row>
    <row r="547" spans="1:14">
      <c r="A547" s="13" t="s">
        <v>973</v>
      </c>
      <c r="B547" s="14" t="s">
        <v>175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94</v>
      </c>
      <c r="M547">
        <v>57</v>
      </c>
      <c r="N547">
        <v>58</v>
      </c>
    </row>
    <row r="548" spans="1:14">
      <c r="A548" s="11" t="s">
        <v>974</v>
      </c>
      <c r="B548" s="12" t="s">
        <v>975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73</v>
      </c>
      <c r="M548">
        <v>83</v>
      </c>
      <c r="N548">
        <v>41</v>
      </c>
    </row>
    <row r="549" spans="1:14">
      <c r="A549" s="13" t="s">
        <v>976</v>
      </c>
      <c r="B549" s="14" t="s">
        <v>977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176</v>
      </c>
      <c r="M549">
        <v>73</v>
      </c>
      <c r="N549">
        <v>86</v>
      </c>
    </row>
    <row r="550" spans="1:14">
      <c r="A550" s="11" t="s">
        <v>978</v>
      </c>
      <c r="B550" s="12" t="s">
        <v>979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128</v>
      </c>
      <c r="M550">
        <v>81</v>
      </c>
      <c r="N550">
        <v>63</v>
      </c>
    </row>
    <row r="551" spans="1:14">
      <c r="A551" s="13" t="s">
        <v>980</v>
      </c>
      <c r="B551" s="14" t="s">
        <v>981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120</v>
      </c>
      <c r="M551">
        <v>58</v>
      </c>
      <c r="N551">
        <v>60</v>
      </c>
    </row>
    <row r="552" spans="1:14">
      <c r="A552" s="11" t="s">
        <v>982</v>
      </c>
      <c r="B552" s="12" t="s">
        <v>983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82</v>
      </c>
      <c r="M552">
        <v>63</v>
      </c>
      <c r="N552">
        <v>62</v>
      </c>
    </row>
    <row r="553" spans="1:14">
      <c r="A553" s="13" t="s">
        <v>984</v>
      </c>
      <c r="B553" s="14" t="s">
        <v>985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95</v>
      </c>
      <c r="M553">
        <v>77</v>
      </c>
      <c r="N553">
        <v>47</v>
      </c>
    </row>
    <row r="554" spans="1:14">
      <c r="A554" s="11" t="s">
        <v>986</v>
      </c>
      <c r="B554" s="12" t="s">
        <v>126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118</v>
      </c>
      <c r="M554">
        <v>44</v>
      </c>
      <c r="N554">
        <v>94</v>
      </c>
    </row>
    <row r="555" spans="1:14">
      <c r="A555" s="13" t="s">
        <v>987</v>
      </c>
      <c r="B555" s="14" t="s">
        <v>988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123</v>
      </c>
      <c r="M555">
        <v>75</v>
      </c>
      <c r="N555">
        <v>86</v>
      </c>
    </row>
    <row r="556" spans="1:14">
      <c r="A556" s="11" t="s">
        <v>989</v>
      </c>
      <c r="B556" s="12" t="s">
        <v>990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90</v>
      </c>
      <c r="M556">
        <v>63</v>
      </c>
      <c r="N556">
        <v>68</v>
      </c>
    </row>
    <row r="557" spans="1:14">
      <c r="A557" s="13" t="s">
        <v>991</v>
      </c>
      <c r="B557" s="14" t="s">
        <v>886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110</v>
      </c>
      <c r="M557">
        <v>73</v>
      </c>
      <c r="N557">
        <v>57</v>
      </c>
    </row>
    <row r="558" spans="1:14">
      <c r="A558" s="11" t="s">
        <v>992</v>
      </c>
      <c r="B558" s="12" t="s">
        <v>993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96</v>
      </c>
      <c r="M558">
        <v>66</v>
      </c>
      <c r="N558">
        <v>82</v>
      </c>
    </row>
    <row r="559" spans="1:14">
      <c r="A559" s="13" t="s">
        <v>994</v>
      </c>
      <c r="B559" s="14" t="s">
        <v>995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88</v>
      </c>
      <c r="M559">
        <v>56</v>
      </c>
      <c r="N559">
        <v>55</v>
      </c>
    </row>
    <row r="560" spans="1:14">
      <c r="A560" s="11" t="s">
        <v>996</v>
      </c>
      <c r="B560" s="12" t="s">
        <v>997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98</v>
      </c>
      <c r="M560">
        <v>73</v>
      </c>
      <c r="N560">
        <v>85</v>
      </c>
    </row>
    <row r="561" spans="1:14">
      <c r="A561" s="13" t="s">
        <v>998</v>
      </c>
      <c r="B561" s="14" t="s">
        <v>999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110</v>
      </c>
      <c r="M561">
        <v>72</v>
      </c>
      <c r="N561">
        <v>68</v>
      </c>
    </row>
    <row r="562" spans="1:14">
      <c r="A562" s="11" t="s">
        <v>1000</v>
      </c>
      <c r="B562" s="12" t="s">
        <v>1001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80</v>
      </c>
      <c r="M562">
        <v>70</v>
      </c>
      <c r="N562">
        <v>49</v>
      </c>
    </row>
    <row r="563" spans="1:14">
      <c r="A563" s="13" t="s">
        <v>1002</v>
      </c>
      <c r="B563" s="14" t="s">
        <v>1003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110</v>
      </c>
      <c r="M563">
        <v>86</v>
      </c>
      <c r="N563">
        <v>53</v>
      </c>
    </row>
    <row r="564" spans="1:14">
      <c r="A564" s="11" t="s">
        <v>1004</v>
      </c>
      <c r="B564" s="12" t="s">
        <v>223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110</v>
      </c>
      <c r="M564">
        <v>79</v>
      </c>
      <c r="N564">
        <v>36</v>
      </c>
    </row>
    <row r="565" spans="1:14">
      <c r="A565" s="13" t="s">
        <v>1005</v>
      </c>
      <c r="B565" s="14" t="s">
        <v>1006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78</v>
      </c>
      <c r="M565">
        <v>77</v>
      </c>
      <c r="N565">
        <v>42</v>
      </c>
    </row>
    <row r="566" spans="1:14">
      <c r="A566" s="11" t="s">
        <v>1007</v>
      </c>
      <c r="B566" s="12" t="s">
        <v>1008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129</v>
      </c>
      <c r="M566">
        <v>83</v>
      </c>
      <c r="N566">
        <v>62</v>
      </c>
    </row>
    <row r="567" spans="1:14">
      <c r="A567" s="13" t="s">
        <v>1009</v>
      </c>
      <c r="B567" s="14" t="s">
        <v>36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181</v>
      </c>
      <c r="M567">
        <v>44</v>
      </c>
      <c r="N567">
        <v>60</v>
      </c>
    </row>
    <row r="568" spans="1:14">
      <c r="A568" s="11" t="s">
        <v>1010</v>
      </c>
      <c r="B568" s="12" t="s">
        <v>223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114</v>
      </c>
      <c r="M568">
        <v>75</v>
      </c>
      <c r="N568">
        <v>77</v>
      </c>
    </row>
    <row r="569" spans="1:14">
      <c r="A569" s="13" t="s">
        <v>1011</v>
      </c>
      <c r="B569" s="14" t="s">
        <v>1012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144</v>
      </c>
      <c r="M569">
        <v>74</v>
      </c>
      <c r="N569">
        <v>65</v>
      </c>
    </row>
    <row r="570" spans="1:14">
      <c r="A570" s="11" t="s">
        <v>1013</v>
      </c>
      <c r="B570" s="12" t="s">
        <v>551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101</v>
      </c>
      <c r="M570">
        <v>66</v>
      </c>
      <c r="N570">
        <v>68</v>
      </c>
    </row>
    <row r="571" spans="1:14">
      <c r="A571" s="13" t="s">
        <v>1014</v>
      </c>
      <c r="B571" s="14" t="s">
        <v>1015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84</v>
      </c>
      <c r="M571">
        <v>67</v>
      </c>
      <c r="N571">
        <v>63</v>
      </c>
    </row>
    <row r="572" spans="1:14">
      <c r="A572" s="11" t="s">
        <v>1016</v>
      </c>
      <c r="B572" s="12" t="s">
        <v>1017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154</v>
      </c>
      <c r="M572">
        <v>66</v>
      </c>
      <c r="N572">
        <v>69</v>
      </c>
    </row>
    <row r="573" spans="1:14">
      <c r="A573" s="13" t="s">
        <v>1018</v>
      </c>
      <c r="B573" s="14" t="s">
        <v>983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148</v>
      </c>
      <c r="M573">
        <v>59</v>
      </c>
      <c r="N573">
        <v>62</v>
      </c>
    </row>
    <row r="574" spans="1:14">
      <c r="A574" s="11" t="s">
        <v>1019</v>
      </c>
      <c r="B574" s="12" t="s">
        <v>1020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146</v>
      </c>
      <c r="M574">
        <v>85</v>
      </c>
      <c r="N574">
        <v>37</v>
      </c>
    </row>
    <row r="575" spans="1:14">
      <c r="A575" s="13" t="s">
        <v>1021</v>
      </c>
      <c r="B575" s="14" t="s">
        <v>1022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120</v>
      </c>
      <c r="M575">
        <v>77</v>
      </c>
      <c r="N575">
        <v>79</v>
      </c>
    </row>
    <row r="576" spans="1:14">
      <c r="A576" s="11" t="s">
        <v>1023</v>
      </c>
      <c r="B576" s="12" t="s">
        <v>1024</v>
      </c>
      <c r="C576">
        <v>1</v>
      </c>
      <c r="D576">
        <v>1970</v>
      </c>
      <c r="E576">
        <v>1</v>
      </c>
      <c r="F576">
        <v>1</v>
      </c>
      <c r="G576">
        <v>2877</v>
      </c>
      <c r="H576">
        <v>0</v>
      </c>
      <c r="I576" t="s">
        <v>1025</v>
      </c>
      <c r="J576">
        <v>16</v>
      </c>
      <c r="K576">
        <v>0</v>
      </c>
      <c r="L576">
        <v>110</v>
      </c>
      <c r="M576">
        <v>53</v>
      </c>
      <c r="N576">
        <v>69</v>
      </c>
    </row>
    <row r="577" spans="1:14">
      <c r="A577" s="13" t="s">
        <v>1026</v>
      </c>
      <c r="B577" s="14" t="s">
        <v>1027</v>
      </c>
      <c r="C577">
        <v>2</v>
      </c>
      <c r="D577">
        <v>2021</v>
      </c>
      <c r="E577">
        <v>11</v>
      </c>
      <c r="F577">
        <v>11</v>
      </c>
      <c r="G577">
        <v>4640</v>
      </c>
      <c r="H577">
        <v>3</v>
      </c>
      <c r="I577">
        <v>374706940</v>
      </c>
      <c r="J577">
        <v>81</v>
      </c>
      <c r="K577">
        <v>93</v>
      </c>
      <c r="L577">
        <v>136</v>
      </c>
      <c r="M577">
        <v>77</v>
      </c>
      <c r="N577">
        <v>30</v>
      </c>
    </row>
    <row r="578" spans="1:14">
      <c r="A578" s="11" t="s">
        <v>1028</v>
      </c>
      <c r="B578" s="12" t="s">
        <v>1029</v>
      </c>
      <c r="C578">
        <v>3</v>
      </c>
      <c r="D578">
        <v>2021</v>
      </c>
      <c r="E578">
        <v>11</v>
      </c>
      <c r="F578">
        <v>19</v>
      </c>
      <c r="G578">
        <v>1150</v>
      </c>
      <c r="H578">
        <v>0</v>
      </c>
      <c r="I578">
        <v>184937148</v>
      </c>
      <c r="J578">
        <v>20</v>
      </c>
      <c r="K578">
        <v>38</v>
      </c>
      <c r="L578">
        <v>141</v>
      </c>
      <c r="M578">
        <v>59</v>
      </c>
      <c r="N578">
        <v>63</v>
      </c>
    </row>
    <row r="579" spans="1:14">
      <c r="A579" s="13" t="s">
        <v>1030</v>
      </c>
      <c r="B579" s="14" t="s">
        <v>126</v>
      </c>
      <c r="C579">
        <v>1</v>
      </c>
      <c r="D579">
        <v>2022</v>
      </c>
      <c r="E579">
        <v>1</v>
      </c>
      <c r="F579">
        <v>7</v>
      </c>
      <c r="G579">
        <v>768</v>
      </c>
      <c r="H579">
        <v>0</v>
      </c>
      <c r="I579">
        <v>31959571</v>
      </c>
      <c r="J579">
        <v>1</v>
      </c>
      <c r="K579">
        <v>1</v>
      </c>
      <c r="L579">
        <v>108</v>
      </c>
      <c r="M579">
        <v>46</v>
      </c>
      <c r="N579">
        <v>48</v>
      </c>
    </row>
    <row r="580" spans="1:14">
      <c r="A580" s="11" t="s">
        <v>1031</v>
      </c>
      <c r="B580" s="12" t="s">
        <v>988</v>
      </c>
      <c r="C580">
        <v>1</v>
      </c>
      <c r="D580">
        <v>2021</v>
      </c>
      <c r="E580">
        <v>11</v>
      </c>
      <c r="F580">
        <v>19</v>
      </c>
      <c r="G580">
        <v>925</v>
      </c>
      <c r="H580">
        <v>0</v>
      </c>
      <c r="I580">
        <v>167076418</v>
      </c>
      <c r="J580">
        <v>24</v>
      </c>
      <c r="K580">
        <v>47</v>
      </c>
      <c r="L580">
        <v>94</v>
      </c>
      <c r="M580">
        <v>42</v>
      </c>
      <c r="N580">
        <v>36</v>
      </c>
    </row>
    <row r="581" spans="1:14">
      <c r="A581" s="13" t="s">
        <v>1032</v>
      </c>
      <c r="B581" s="14" t="s">
        <v>1033</v>
      </c>
      <c r="C581">
        <v>1</v>
      </c>
      <c r="D581">
        <v>2015</v>
      </c>
      <c r="E581">
        <v>5</v>
      </c>
      <c r="F581">
        <v>10</v>
      </c>
      <c r="G581">
        <v>3006</v>
      </c>
      <c r="H581">
        <v>3</v>
      </c>
      <c r="I581">
        <v>824420218</v>
      </c>
      <c r="J581">
        <v>23</v>
      </c>
      <c r="K581">
        <v>21</v>
      </c>
      <c r="L581">
        <v>180</v>
      </c>
      <c r="M581">
        <v>35</v>
      </c>
      <c r="N581">
        <v>94</v>
      </c>
    </row>
    <row r="582" spans="1:14">
      <c r="A582" s="11" t="s">
        <v>1034</v>
      </c>
      <c r="B582" s="12" t="s">
        <v>1035</v>
      </c>
      <c r="C582">
        <v>1</v>
      </c>
      <c r="D582">
        <v>2021</v>
      </c>
      <c r="E582">
        <v>9</v>
      </c>
      <c r="F582">
        <v>1</v>
      </c>
      <c r="G582">
        <v>3098</v>
      </c>
      <c r="H582">
        <v>0</v>
      </c>
      <c r="I582">
        <v>363467642</v>
      </c>
      <c r="J582">
        <v>111</v>
      </c>
      <c r="K582">
        <v>5</v>
      </c>
      <c r="L582">
        <v>122</v>
      </c>
      <c r="M582">
        <v>77</v>
      </c>
      <c r="N582">
        <v>79</v>
      </c>
    </row>
    <row r="583" spans="1:14">
      <c r="A583" s="13" t="s">
        <v>1036</v>
      </c>
      <c r="B583" s="14" t="s">
        <v>175</v>
      </c>
      <c r="C583">
        <v>1</v>
      </c>
      <c r="D583">
        <v>2015</v>
      </c>
      <c r="E583">
        <v>10</v>
      </c>
      <c r="F583">
        <v>30</v>
      </c>
      <c r="G583">
        <v>9771</v>
      </c>
      <c r="H583">
        <v>4</v>
      </c>
      <c r="I583">
        <v>1127468248</v>
      </c>
      <c r="J583">
        <v>42</v>
      </c>
      <c r="K583">
        <v>70</v>
      </c>
      <c r="L583">
        <v>85</v>
      </c>
      <c r="M583">
        <v>59</v>
      </c>
      <c r="N583">
        <v>52</v>
      </c>
    </row>
    <row r="584" spans="1:14">
      <c r="A584" s="11" t="s">
        <v>1037</v>
      </c>
      <c r="B584" s="12" t="s">
        <v>1038</v>
      </c>
      <c r="C584">
        <v>2</v>
      </c>
      <c r="D584">
        <v>2022</v>
      </c>
      <c r="E584">
        <v>1</v>
      </c>
      <c r="F584">
        <v>7</v>
      </c>
      <c r="G584">
        <v>807</v>
      </c>
      <c r="H584">
        <v>0</v>
      </c>
      <c r="I584">
        <v>60680939</v>
      </c>
      <c r="J584">
        <v>3</v>
      </c>
      <c r="K584">
        <v>0</v>
      </c>
      <c r="L584">
        <v>148</v>
      </c>
      <c r="M584">
        <v>68</v>
      </c>
      <c r="N584">
        <v>73</v>
      </c>
    </row>
    <row r="585" spans="1:14">
      <c r="A585" s="13" t="s">
        <v>1039</v>
      </c>
      <c r="B585" s="14" t="s">
        <v>508</v>
      </c>
      <c r="C585">
        <v>1</v>
      </c>
      <c r="D585">
        <v>2021</v>
      </c>
      <c r="E585">
        <v>12</v>
      </c>
      <c r="F585">
        <v>1</v>
      </c>
      <c r="G585">
        <v>521</v>
      </c>
      <c r="H585">
        <v>1</v>
      </c>
      <c r="I585">
        <v>247737946</v>
      </c>
      <c r="J585">
        <v>17</v>
      </c>
      <c r="K585">
        <v>89</v>
      </c>
      <c r="L585">
        <v>120</v>
      </c>
      <c r="M585">
        <v>83</v>
      </c>
      <c r="N585">
        <v>73</v>
      </c>
    </row>
    <row r="586" spans="1:14">
      <c r="A586" s="11" t="s">
        <v>1040</v>
      </c>
      <c r="B586" s="12" t="s">
        <v>1041</v>
      </c>
      <c r="C586">
        <v>2</v>
      </c>
      <c r="D586">
        <v>2020</v>
      </c>
      <c r="E586">
        <v>7</v>
      </c>
      <c r="F586">
        <v>24</v>
      </c>
      <c r="G586">
        <v>12854</v>
      </c>
      <c r="H586">
        <v>0</v>
      </c>
      <c r="I586">
        <v>1699402402</v>
      </c>
      <c r="J586">
        <v>237</v>
      </c>
      <c r="K586">
        <v>27</v>
      </c>
      <c r="L586">
        <v>91</v>
      </c>
      <c r="M586">
        <v>70</v>
      </c>
      <c r="N586">
        <v>72</v>
      </c>
    </row>
    <row r="587" spans="1:14">
      <c r="A587" s="13" t="s">
        <v>1042</v>
      </c>
      <c r="B587" s="14" t="s">
        <v>1043</v>
      </c>
      <c r="C587">
        <v>2</v>
      </c>
      <c r="D587">
        <v>2021</v>
      </c>
      <c r="E587">
        <v>11</v>
      </c>
      <c r="F587">
        <v>19</v>
      </c>
      <c r="G587">
        <v>802</v>
      </c>
      <c r="H587">
        <v>0</v>
      </c>
      <c r="I587">
        <v>154797871</v>
      </c>
      <c r="J587">
        <v>13</v>
      </c>
      <c r="K587">
        <v>27</v>
      </c>
      <c r="L587">
        <v>120</v>
      </c>
      <c r="M587">
        <v>72</v>
      </c>
      <c r="N587">
        <v>71</v>
      </c>
    </row>
    <row r="588" spans="1:14">
      <c r="A588" s="11" t="s">
        <v>1044</v>
      </c>
      <c r="B588" s="12" t="s">
        <v>1045</v>
      </c>
      <c r="C588">
        <v>1</v>
      </c>
      <c r="D588">
        <v>2021</v>
      </c>
      <c r="E588">
        <v>11</v>
      </c>
      <c r="F588">
        <v>17</v>
      </c>
      <c r="G588">
        <v>731</v>
      </c>
      <c r="H588">
        <v>0</v>
      </c>
      <c r="I588">
        <v>198883004</v>
      </c>
      <c r="J588">
        <v>14</v>
      </c>
      <c r="K588">
        <v>14</v>
      </c>
      <c r="L588">
        <v>106</v>
      </c>
      <c r="M588">
        <v>86</v>
      </c>
      <c r="N588">
        <v>79</v>
      </c>
    </row>
    <row r="589" spans="1:14">
      <c r="A589" s="13" t="s">
        <v>1046</v>
      </c>
      <c r="B589" s="14" t="s">
        <v>64</v>
      </c>
      <c r="C589">
        <v>1</v>
      </c>
      <c r="D589">
        <v>2022</v>
      </c>
      <c r="E589">
        <v>1</v>
      </c>
      <c r="F589">
        <v>7</v>
      </c>
      <c r="G589">
        <v>788</v>
      </c>
      <c r="H589">
        <v>0</v>
      </c>
      <c r="I589">
        <v>124407432</v>
      </c>
      <c r="J589">
        <v>13</v>
      </c>
      <c r="K589">
        <v>0</v>
      </c>
      <c r="L589">
        <v>110</v>
      </c>
      <c r="M589">
        <v>63</v>
      </c>
      <c r="N589">
        <v>35</v>
      </c>
    </row>
    <row r="590" spans="1:14">
      <c r="A590" s="11" t="s">
        <v>1047</v>
      </c>
      <c r="B590" s="12" t="s">
        <v>36</v>
      </c>
      <c r="C590">
        <v>1</v>
      </c>
      <c r="D590">
        <v>2021</v>
      </c>
      <c r="E590">
        <v>5</v>
      </c>
      <c r="F590">
        <v>21</v>
      </c>
      <c r="G590">
        <v>3069</v>
      </c>
      <c r="H590">
        <v>4</v>
      </c>
      <c r="I590">
        <v>850608354</v>
      </c>
      <c r="J590">
        <v>25</v>
      </c>
      <c r="K590">
        <v>46</v>
      </c>
      <c r="L590">
        <v>169</v>
      </c>
      <c r="M590">
        <v>39</v>
      </c>
      <c r="N590">
        <v>45</v>
      </c>
    </row>
    <row r="591" spans="1:14">
      <c r="A591" s="13" t="s">
        <v>1048</v>
      </c>
      <c r="B591" s="14" t="s">
        <v>1049</v>
      </c>
      <c r="C591">
        <v>1</v>
      </c>
      <c r="D591">
        <v>2021</v>
      </c>
      <c r="E591">
        <v>8</v>
      </c>
      <c r="F591">
        <v>29</v>
      </c>
      <c r="G591">
        <v>4651</v>
      </c>
      <c r="H591">
        <v>0</v>
      </c>
      <c r="I591">
        <v>376333030</v>
      </c>
      <c r="J591">
        <v>24</v>
      </c>
      <c r="K591">
        <v>6</v>
      </c>
      <c r="L591">
        <v>118</v>
      </c>
      <c r="M591">
        <v>80</v>
      </c>
      <c r="N591">
        <v>55</v>
      </c>
    </row>
    <row r="592" spans="1:14">
      <c r="A592" s="11" t="s">
        <v>1050</v>
      </c>
      <c r="B592" s="12" t="s">
        <v>795</v>
      </c>
      <c r="C592">
        <v>1</v>
      </c>
      <c r="D592">
        <v>2021</v>
      </c>
      <c r="E592">
        <v>6</v>
      </c>
      <c r="F592">
        <v>25</v>
      </c>
      <c r="G592">
        <v>4999</v>
      </c>
      <c r="H592">
        <v>0</v>
      </c>
      <c r="I592">
        <v>516784627</v>
      </c>
      <c r="J592">
        <v>43</v>
      </c>
      <c r="K592">
        <v>19</v>
      </c>
      <c r="L592">
        <v>92</v>
      </c>
      <c r="M592">
        <v>91</v>
      </c>
      <c r="N592">
        <v>66</v>
      </c>
    </row>
    <row r="593" spans="1:14">
      <c r="A593" s="13" t="s">
        <v>1051</v>
      </c>
      <c r="B593" s="14" t="s">
        <v>200</v>
      </c>
      <c r="C593">
        <v>1</v>
      </c>
      <c r="D593">
        <v>2019</v>
      </c>
      <c r="E593">
        <v>11</v>
      </c>
      <c r="F593">
        <v>1</v>
      </c>
      <c r="G593">
        <v>8327</v>
      </c>
      <c r="H593">
        <v>24</v>
      </c>
      <c r="I593">
        <v>1608045237</v>
      </c>
      <c r="J593">
        <v>205</v>
      </c>
      <c r="K593">
        <v>130</v>
      </c>
      <c r="L593">
        <v>112</v>
      </c>
      <c r="M593">
        <v>45</v>
      </c>
      <c r="N593">
        <v>60</v>
      </c>
    </row>
    <row r="594" spans="1:14">
      <c r="A594" s="11" t="s">
        <v>1052</v>
      </c>
      <c r="B594" s="12" t="s">
        <v>1053</v>
      </c>
      <c r="C594">
        <v>1</v>
      </c>
      <c r="D594">
        <v>2020</v>
      </c>
      <c r="E594">
        <v>12</v>
      </c>
      <c r="F594">
        <v>25</v>
      </c>
      <c r="G594">
        <v>3297</v>
      </c>
      <c r="H594">
        <v>3</v>
      </c>
      <c r="I594">
        <v>506778838</v>
      </c>
      <c r="J594">
        <v>25</v>
      </c>
      <c r="K594">
        <v>3</v>
      </c>
      <c r="L594">
        <v>140</v>
      </c>
      <c r="M594">
        <v>79</v>
      </c>
      <c r="N594">
        <v>91</v>
      </c>
    </row>
    <row r="595" spans="1:14">
      <c r="A595" s="13" t="s">
        <v>1054</v>
      </c>
      <c r="B595" s="14" t="s">
        <v>240</v>
      </c>
      <c r="C595">
        <v>1</v>
      </c>
      <c r="D595">
        <v>2010</v>
      </c>
      <c r="E595">
        <v>11</v>
      </c>
      <c r="F595">
        <v>29</v>
      </c>
      <c r="G595">
        <v>35684</v>
      </c>
      <c r="H595">
        <v>6</v>
      </c>
      <c r="I595">
        <v>1472799873</v>
      </c>
      <c r="J595">
        <v>195</v>
      </c>
      <c r="K595">
        <v>125</v>
      </c>
      <c r="L595">
        <v>105</v>
      </c>
      <c r="M595">
        <v>73</v>
      </c>
      <c r="N595">
        <v>76</v>
      </c>
    </row>
    <row r="596" spans="1:14">
      <c r="A596" s="11" t="s">
        <v>1055</v>
      </c>
      <c r="B596" s="12" t="s">
        <v>1056</v>
      </c>
      <c r="C596">
        <v>1</v>
      </c>
      <c r="D596">
        <v>2021</v>
      </c>
      <c r="E596">
        <v>7</v>
      </c>
      <c r="F596">
        <v>8</v>
      </c>
      <c r="G596">
        <v>3506</v>
      </c>
      <c r="H596">
        <v>10</v>
      </c>
      <c r="I596">
        <v>513643924</v>
      </c>
      <c r="J596">
        <v>103</v>
      </c>
      <c r="K596">
        <v>76</v>
      </c>
      <c r="L596">
        <v>178</v>
      </c>
      <c r="M596">
        <v>76</v>
      </c>
      <c r="N596">
        <v>77</v>
      </c>
    </row>
    <row r="597" spans="1:14">
      <c r="A597" s="13" t="s">
        <v>1057</v>
      </c>
      <c r="B597" s="14" t="s">
        <v>1058</v>
      </c>
      <c r="C597">
        <v>2</v>
      </c>
      <c r="D597">
        <v>2021</v>
      </c>
      <c r="E597">
        <v>12</v>
      </c>
      <c r="F597">
        <v>23</v>
      </c>
      <c r="G597">
        <v>2999</v>
      </c>
      <c r="H597">
        <v>0</v>
      </c>
      <c r="I597">
        <v>261286503</v>
      </c>
      <c r="J597">
        <v>60</v>
      </c>
      <c r="K597">
        <v>17</v>
      </c>
      <c r="L597">
        <v>108</v>
      </c>
      <c r="M597">
        <v>96</v>
      </c>
      <c r="N597">
        <v>42</v>
      </c>
    </row>
    <row r="598" spans="1:14">
      <c r="A598" s="11" t="s">
        <v>1059</v>
      </c>
      <c r="B598" s="12" t="s">
        <v>36</v>
      </c>
      <c r="C598">
        <v>1</v>
      </c>
      <c r="D598">
        <v>2021</v>
      </c>
      <c r="E598">
        <v>5</v>
      </c>
      <c r="F598">
        <v>21</v>
      </c>
      <c r="G598">
        <v>3681</v>
      </c>
      <c r="H598">
        <v>0</v>
      </c>
      <c r="I598">
        <v>783706581</v>
      </c>
      <c r="J598">
        <v>20</v>
      </c>
      <c r="K598">
        <v>21</v>
      </c>
      <c r="L598">
        <v>173</v>
      </c>
      <c r="M598">
        <v>40</v>
      </c>
      <c r="N598">
        <v>29</v>
      </c>
    </row>
    <row r="599" spans="1:14">
      <c r="A599" s="13" t="s">
        <v>1060</v>
      </c>
      <c r="B599" s="14" t="s">
        <v>1061</v>
      </c>
      <c r="C599">
        <v>3</v>
      </c>
      <c r="D599">
        <v>2021</v>
      </c>
      <c r="E599">
        <v>5</v>
      </c>
      <c r="F599">
        <v>7</v>
      </c>
      <c r="G599">
        <v>4846</v>
      </c>
      <c r="H599">
        <v>10</v>
      </c>
      <c r="I599">
        <v>422691058</v>
      </c>
      <c r="J599">
        <v>54</v>
      </c>
      <c r="K599">
        <v>16</v>
      </c>
      <c r="L599">
        <v>101</v>
      </c>
      <c r="M599">
        <v>67</v>
      </c>
      <c r="N599">
        <v>90</v>
      </c>
    </row>
    <row r="600" spans="1:14">
      <c r="A600" s="11" t="s">
        <v>1062</v>
      </c>
      <c r="B600" s="12" t="s">
        <v>1063</v>
      </c>
      <c r="C600">
        <v>1</v>
      </c>
      <c r="D600">
        <v>2020</v>
      </c>
      <c r="E600">
        <v>1</v>
      </c>
      <c r="F600">
        <v>1</v>
      </c>
      <c r="G600">
        <v>14311</v>
      </c>
      <c r="H600">
        <v>0</v>
      </c>
      <c r="I600">
        <v>1062345656</v>
      </c>
      <c r="J600">
        <v>255</v>
      </c>
      <c r="K600">
        <v>32</v>
      </c>
      <c r="L600">
        <v>120</v>
      </c>
      <c r="M600">
        <v>80</v>
      </c>
      <c r="N600">
        <v>62</v>
      </c>
    </row>
    <row r="601" spans="1:14">
      <c r="A601" s="13" t="s">
        <v>1064</v>
      </c>
      <c r="B601" s="14" t="s">
        <v>817</v>
      </c>
      <c r="C601">
        <v>1</v>
      </c>
      <c r="D601">
        <v>2020</v>
      </c>
      <c r="E601">
        <v>10</v>
      </c>
      <c r="F601">
        <v>23</v>
      </c>
      <c r="G601">
        <v>8207</v>
      </c>
      <c r="H601">
        <v>0</v>
      </c>
      <c r="I601">
        <v>1252563873</v>
      </c>
      <c r="J601">
        <v>175</v>
      </c>
      <c r="K601">
        <v>55</v>
      </c>
      <c r="L601">
        <v>144</v>
      </c>
      <c r="M601">
        <v>73</v>
      </c>
      <c r="N601">
        <v>80</v>
      </c>
    </row>
    <row r="602" spans="1:14">
      <c r="A602" s="11" t="s">
        <v>1065</v>
      </c>
      <c r="B602" s="12" t="s">
        <v>942</v>
      </c>
      <c r="C602">
        <v>1</v>
      </c>
      <c r="D602">
        <v>2021</v>
      </c>
      <c r="E602">
        <v>3</v>
      </c>
      <c r="F602">
        <v>19</v>
      </c>
      <c r="G602">
        <v>4873</v>
      </c>
      <c r="H602">
        <v>0</v>
      </c>
      <c r="I602">
        <v>851070493</v>
      </c>
      <c r="J602">
        <v>65</v>
      </c>
      <c r="K602">
        <v>88</v>
      </c>
      <c r="L602">
        <v>133</v>
      </c>
      <c r="M602">
        <v>75</v>
      </c>
      <c r="N602">
        <v>61</v>
      </c>
    </row>
    <row r="603" spans="1:14">
      <c r="A603" s="13" t="s">
        <v>1066</v>
      </c>
      <c r="B603" s="14" t="s">
        <v>1067</v>
      </c>
      <c r="C603">
        <v>2</v>
      </c>
      <c r="D603">
        <v>2021</v>
      </c>
      <c r="E603">
        <v>10</v>
      </c>
      <c r="F603">
        <v>22</v>
      </c>
      <c r="G603">
        <v>772</v>
      </c>
      <c r="H603">
        <v>0</v>
      </c>
      <c r="I603">
        <v>263894529</v>
      </c>
      <c r="J603">
        <v>7</v>
      </c>
      <c r="K603">
        <v>3</v>
      </c>
      <c r="L603">
        <v>158</v>
      </c>
      <c r="M603">
        <v>46</v>
      </c>
      <c r="N603">
        <v>83</v>
      </c>
    </row>
    <row r="604" spans="1:14">
      <c r="A604" s="11" t="s">
        <v>1068</v>
      </c>
      <c r="B604" s="12" t="s">
        <v>1069</v>
      </c>
      <c r="C604">
        <v>1</v>
      </c>
      <c r="D604">
        <v>2021</v>
      </c>
      <c r="E604">
        <v>10</v>
      </c>
      <c r="F604">
        <v>1</v>
      </c>
      <c r="G604">
        <v>1150</v>
      </c>
      <c r="H604">
        <v>0</v>
      </c>
      <c r="I604">
        <v>345903614</v>
      </c>
      <c r="J604">
        <v>20</v>
      </c>
      <c r="K604">
        <v>99</v>
      </c>
      <c r="L604">
        <v>120</v>
      </c>
      <c r="M604">
        <v>81</v>
      </c>
      <c r="N604">
        <v>90</v>
      </c>
    </row>
    <row r="605" spans="1:14">
      <c r="A605" s="13" t="s">
        <v>1070</v>
      </c>
      <c r="B605" s="14" t="s">
        <v>1071</v>
      </c>
      <c r="C605">
        <v>1</v>
      </c>
      <c r="D605">
        <v>2020</v>
      </c>
      <c r="E605">
        <v>2</v>
      </c>
      <c r="F605">
        <v>21</v>
      </c>
      <c r="G605">
        <v>5398</v>
      </c>
      <c r="H605">
        <v>4</v>
      </c>
      <c r="I605">
        <v>951637566</v>
      </c>
      <c r="J605">
        <v>111</v>
      </c>
      <c r="K605">
        <v>127</v>
      </c>
      <c r="L605">
        <v>129</v>
      </c>
      <c r="M605">
        <v>61</v>
      </c>
      <c r="N605">
        <v>46</v>
      </c>
    </row>
    <row r="606" spans="1:14">
      <c r="A606" s="11" t="s">
        <v>1072</v>
      </c>
      <c r="B606" s="12" t="s">
        <v>1073</v>
      </c>
      <c r="C606">
        <v>2</v>
      </c>
      <c r="D606">
        <v>2016</v>
      </c>
      <c r="E606">
        <v>11</v>
      </c>
      <c r="F606">
        <v>18</v>
      </c>
      <c r="G606">
        <v>7370</v>
      </c>
      <c r="H606">
        <v>0</v>
      </c>
      <c r="I606">
        <v>956865266</v>
      </c>
      <c r="J606">
        <v>92</v>
      </c>
      <c r="K606">
        <v>127</v>
      </c>
      <c r="L606">
        <v>102</v>
      </c>
      <c r="M606">
        <v>74</v>
      </c>
      <c r="N606">
        <v>89</v>
      </c>
    </row>
    <row r="607" spans="1:14">
      <c r="A607" s="13" t="s">
        <v>1074</v>
      </c>
      <c r="B607" s="14" t="s">
        <v>1075</v>
      </c>
      <c r="C607">
        <v>4</v>
      </c>
      <c r="D607">
        <v>2021</v>
      </c>
      <c r="E607">
        <v>8</v>
      </c>
      <c r="F607">
        <v>13</v>
      </c>
      <c r="G607">
        <v>6890</v>
      </c>
      <c r="H607">
        <v>0</v>
      </c>
      <c r="I607">
        <v>427486004</v>
      </c>
      <c r="J607">
        <v>122</v>
      </c>
      <c r="K607">
        <v>11</v>
      </c>
      <c r="L607">
        <v>124</v>
      </c>
      <c r="M607">
        <v>79</v>
      </c>
      <c r="N607">
        <v>84</v>
      </c>
    </row>
    <row r="608" spans="1:14">
      <c r="A608" s="11" t="s">
        <v>1076</v>
      </c>
      <c r="B608" s="12" t="s">
        <v>1077</v>
      </c>
      <c r="C608">
        <v>1</v>
      </c>
      <c r="D608">
        <v>2016</v>
      </c>
      <c r="E608">
        <v>4</v>
      </c>
      <c r="F608">
        <v>20</v>
      </c>
      <c r="G608">
        <v>1966</v>
      </c>
      <c r="H608">
        <v>0</v>
      </c>
      <c r="I608">
        <v>156658366</v>
      </c>
      <c r="J608">
        <v>4</v>
      </c>
      <c r="K608">
        <v>2</v>
      </c>
      <c r="L608">
        <v>90</v>
      </c>
      <c r="M608">
        <v>73</v>
      </c>
      <c r="N608">
        <v>45</v>
      </c>
    </row>
    <row r="609" spans="1:14">
      <c r="A609" s="13">
        <v>2055</v>
      </c>
      <c r="B609" s="14" t="s">
        <v>1078</v>
      </c>
      <c r="C609">
        <v>1</v>
      </c>
      <c r="D609">
        <v>2021</v>
      </c>
      <c r="E609">
        <v>4</v>
      </c>
      <c r="F609">
        <v>14</v>
      </c>
      <c r="G609">
        <v>2226</v>
      </c>
      <c r="H609">
        <v>0</v>
      </c>
      <c r="I609">
        <v>624515457</v>
      </c>
      <c r="J609">
        <v>29</v>
      </c>
      <c r="K609">
        <v>0</v>
      </c>
      <c r="L609">
        <v>161</v>
      </c>
      <c r="M609">
        <v>78</v>
      </c>
      <c r="N609">
        <v>52</v>
      </c>
    </row>
    <row r="610" spans="1:14">
      <c r="A610" s="11" t="s">
        <v>1079</v>
      </c>
      <c r="B610" s="12" t="s">
        <v>72</v>
      </c>
      <c r="C610">
        <v>1</v>
      </c>
      <c r="D610">
        <v>2017</v>
      </c>
      <c r="E610">
        <v>3</v>
      </c>
      <c r="F610">
        <v>30</v>
      </c>
      <c r="G610">
        <v>4204</v>
      </c>
      <c r="H610">
        <v>0</v>
      </c>
      <c r="I610">
        <v>777765388</v>
      </c>
      <c r="J610">
        <v>39</v>
      </c>
      <c r="K610">
        <v>45</v>
      </c>
      <c r="L610">
        <v>120</v>
      </c>
      <c r="M610">
        <v>60</v>
      </c>
      <c r="N610">
        <v>33</v>
      </c>
    </row>
    <row r="611" spans="1:14">
      <c r="A611" s="13" t="s">
        <v>1080</v>
      </c>
      <c r="B611" s="14" t="s">
        <v>72</v>
      </c>
      <c r="C611">
        <v>1</v>
      </c>
      <c r="D611">
        <v>2021</v>
      </c>
      <c r="E611">
        <v>7</v>
      </c>
      <c r="F611">
        <v>28</v>
      </c>
      <c r="G611">
        <v>1959</v>
      </c>
      <c r="H611">
        <v>0</v>
      </c>
      <c r="I611">
        <v>412795151</v>
      </c>
      <c r="J611">
        <v>19</v>
      </c>
      <c r="K611">
        <v>0</v>
      </c>
      <c r="L611">
        <v>81</v>
      </c>
      <c r="M611">
        <v>45</v>
      </c>
      <c r="N611">
        <v>57</v>
      </c>
    </row>
    <row r="612" spans="1:14">
      <c r="A612" s="11" t="s">
        <v>1081</v>
      </c>
      <c r="B612" s="12" t="s">
        <v>1082</v>
      </c>
      <c r="C612">
        <v>1</v>
      </c>
      <c r="D612">
        <v>2019</v>
      </c>
      <c r="E612">
        <v>1</v>
      </c>
      <c r="F612">
        <v>1</v>
      </c>
      <c r="G612">
        <v>7191</v>
      </c>
      <c r="H612">
        <v>0</v>
      </c>
      <c r="I612">
        <v>1138474110</v>
      </c>
      <c r="J612">
        <v>146</v>
      </c>
      <c r="K612">
        <v>18</v>
      </c>
      <c r="L612">
        <v>150</v>
      </c>
      <c r="M612">
        <v>78</v>
      </c>
      <c r="N612">
        <v>70</v>
      </c>
    </row>
    <row r="613" spans="1:14">
      <c r="A613" s="13" t="s">
        <v>1083</v>
      </c>
      <c r="B613" s="14" t="s">
        <v>1084</v>
      </c>
      <c r="C613">
        <v>2</v>
      </c>
      <c r="D613">
        <v>2021</v>
      </c>
      <c r="E613">
        <v>9</v>
      </c>
      <c r="F613">
        <v>2</v>
      </c>
      <c r="G613">
        <v>2012</v>
      </c>
      <c r="H613">
        <v>0</v>
      </c>
      <c r="I613">
        <v>355219175</v>
      </c>
      <c r="J613">
        <v>101</v>
      </c>
      <c r="K613">
        <v>12</v>
      </c>
      <c r="L613">
        <v>105</v>
      </c>
      <c r="M613">
        <v>76</v>
      </c>
      <c r="N613">
        <v>84</v>
      </c>
    </row>
    <row r="614" spans="1:14">
      <c r="A614" s="11" t="s">
        <v>1085</v>
      </c>
      <c r="B614" s="12" t="s">
        <v>1086</v>
      </c>
      <c r="C614">
        <v>1</v>
      </c>
      <c r="D614">
        <v>2021</v>
      </c>
      <c r="E614">
        <v>8</v>
      </c>
      <c r="F614">
        <v>10</v>
      </c>
      <c r="G614">
        <v>1211</v>
      </c>
      <c r="H614">
        <v>2</v>
      </c>
      <c r="I614">
        <v>290228626</v>
      </c>
      <c r="J614">
        <v>30</v>
      </c>
      <c r="K614">
        <v>2</v>
      </c>
      <c r="L614">
        <v>79</v>
      </c>
      <c r="M614">
        <v>63</v>
      </c>
      <c r="N614">
        <v>67</v>
      </c>
    </row>
    <row r="615" spans="1:14">
      <c r="A615" s="13" t="s">
        <v>1087</v>
      </c>
      <c r="B615" s="14" t="s">
        <v>317</v>
      </c>
      <c r="C615">
        <v>1</v>
      </c>
      <c r="D615">
        <v>2010</v>
      </c>
      <c r="E615">
        <v>10</v>
      </c>
      <c r="F615">
        <v>4</v>
      </c>
      <c r="G615">
        <v>7109</v>
      </c>
      <c r="H615">
        <v>2</v>
      </c>
      <c r="I615">
        <v>1062956628</v>
      </c>
      <c r="J615">
        <v>5</v>
      </c>
      <c r="K615">
        <v>0</v>
      </c>
      <c r="L615">
        <v>146</v>
      </c>
      <c r="M615">
        <v>52</v>
      </c>
      <c r="N615">
        <v>61</v>
      </c>
    </row>
    <row r="616" spans="1:14">
      <c r="A616" s="11" t="s">
        <v>1088</v>
      </c>
      <c r="B616" s="12" t="s">
        <v>1089</v>
      </c>
      <c r="C616">
        <v>1</v>
      </c>
      <c r="D616">
        <v>2020</v>
      </c>
      <c r="E616">
        <v>4</v>
      </c>
      <c r="F616">
        <v>17</v>
      </c>
      <c r="G616">
        <v>6638</v>
      </c>
      <c r="H616">
        <v>0</v>
      </c>
      <c r="I616">
        <v>1180094974</v>
      </c>
      <c r="J616">
        <v>167</v>
      </c>
      <c r="K616">
        <v>19</v>
      </c>
      <c r="L616">
        <v>124</v>
      </c>
      <c r="M616">
        <v>64</v>
      </c>
      <c r="N616">
        <v>37</v>
      </c>
    </row>
    <row r="617" spans="1:14">
      <c r="A617" s="13" t="s">
        <v>1090</v>
      </c>
      <c r="B617" s="14" t="s">
        <v>1091</v>
      </c>
      <c r="C617">
        <v>1</v>
      </c>
      <c r="D617">
        <v>2014</v>
      </c>
      <c r="E617">
        <v>1</v>
      </c>
      <c r="F617">
        <v>1</v>
      </c>
      <c r="G617">
        <v>17354</v>
      </c>
      <c r="H617">
        <v>8</v>
      </c>
      <c r="I617">
        <v>1456081449</v>
      </c>
      <c r="J617">
        <v>92</v>
      </c>
      <c r="K617">
        <v>122</v>
      </c>
      <c r="L617">
        <v>126</v>
      </c>
      <c r="M617">
        <v>53</v>
      </c>
      <c r="N617">
        <v>85</v>
      </c>
    </row>
    <row r="618" spans="1:14">
      <c r="A618" s="11" t="s">
        <v>921</v>
      </c>
      <c r="B618" s="12" t="s">
        <v>126</v>
      </c>
      <c r="C618">
        <v>1</v>
      </c>
      <c r="D618">
        <v>2021</v>
      </c>
      <c r="E618">
        <v>8</v>
      </c>
      <c r="F618">
        <v>6</v>
      </c>
      <c r="G618">
        <v>6392</v>
      </c>
      <c r="H618">
        <v>0</v>
      </c>
      <c r="I618">
        <v>432702334</v>
      </c>
      <c r="J618">
        <v>174</v>
      </c>
      <c r="K618">
        <v>73</v>
      </c>
      <c r="L618">
        <v>121</v>
      </c>
      <c r="M618">
        <v>75</v>
      </c>
      <c r="N618">
        <v>74</v>
      </c>
    </row>
    <row r="619" spans="1:14">
      <c r="A619" s="13" t="s">
        <v>1092</v>
      </c>
      <c r="B619" s="14" t="s">
        <v>1093</v>
      </c>
      <c r="C619">
        <v>3</v>
      </c>
      <c r="D619">
        <v>2021</v>
      </c>
      <c r="E619">
        <v>9</v>
      </c>
      <c r="F619">
        <v>3</v>
      </c>
      <c r="G619">
        <v>5481</v>
      </c>
      <c r="H619">
        <v>0</v>
      </c>
      <c r="I619">
        <v>489945871</v>
      </c>
      <c r="J619">
        <v>144</v>
      </c>
      <c r="K619">
        <v>30</v>
      </c>
      <c r="L619">
        <v>136</v>
      </c>
      <c r="M619">
        <v>80</v>
      </c>
      <c r="N619">
        <v>60</v>
      </c>
    </row>
    <row r="620" spans="1:14">
      <c r="A620" s="11" t="s">
        <v>1094</v>
      </c>
      <c r="B620" s="12" t="s">
        <v>979</v>
      </c>
      <c r="C620">
        <v>1</v>
      </c>
      <c r="D620">
        <v>2021</v>
      </c>
      <c r="E620">
        <v>6</v>
      </c>
      <c r="F620">
        <v>25</v>
      </c>
      <c r="G620">
        <v>2636</v>
      </c>
      <c r="H620">
        <v>3</v>
      </c>
      <c r="I620">
        <v>465959382</v>
      </c>
      <c r="J620">
        <v>36</v>
      </c>
      <c r="K620">
        <v>82</v>
      </c>
      <c r="L620">
        <v>102</v>
      </c>
      <c r="M620">
        <v>77</v>
      </c>
      <c r="N620">
        <v>63</v>
      </c>
    </row>
    <row r="621" spans="1:14">
      <c r="A621" s="13" t="s">
        <v>1095</v>
      </c>
      <c r="B621" s="14" t="s">
        <v>1096</v>
      </c>
      <c r="C621">
        <v>3</v>
      </c>
      <c r="D621">
        <v>2021</v>
      </c>
      <c r="E621">
        <v>10</v>
      </c>
      <c r="F621">
        <v>27</v>
      </c>
      <c r="G621">
        <v>824</v>
      </c>
      <c r="H621">
        <v>0</v>
      </c>
      <c r="I621">
        <v>1223481149</v>
      </c>
      <c r="J621">
        <v>8</v>
      </c>
      <c r="K621">
        <v>8</v>
      </c>
      <c r="L621">
        <v>77</v>
      </c>
      <c r="M621">
        <v>73</v>
      </c>
      <c r="N621">
        <v>74</v>
      </c>
    </row>
    <row r="622" spans="1:14">
      <c r="A622" s="11" t="s">
        <v>1097</v>
      </c>
      <c r="B622" s="12" t="s">
        <v>1098</v>
      </c>
      <c r="C622">
        <v>1</v>
      </c>
      <c r="D622">
        <v>2019</v>
      </c>
      <c r="E622">
        <v>5</v>
      </c>
      <c r="F622">
        <v>10</v>
      </c>
      <c r="G622">
        <v>24529</v>
      </c>
      <c r="H622">
        <v>0</v>
      </c>
      <c r="I622">
        <v>2864791672</v>
      </c>
      <c r="J622">
        <v>533</v>
      </c>
      <c r="K622">
        <v>167</v>
      </c>
      <c r="L622">
        <v>98</v>
      </c>
      <c r="M622">
        <v>82</v>
      </c>
      <c r="N622">
        <v>59</v>
      </c>
    </row>
    <row r="623" spans="1:14">
      <c r="A623" s="13" t="s">
        <v>1099</v>
      </c>
      <c r="B623" s="14" t="s">
        <v>1100</v>
      </c>
      <c r="C623">
        <v>1</v>
      </c>
      <c r="D623">
        <v>2017</v>
      </c>
      <c r="E623">
        <v>6</v>
      </c>
      <c r="F623">
        <v>15</v>
      </c>
      <c r="G623">
        <v>14749</v>
      </c>
      <c r="H623">
        <v>0</v>
      </c>
      <c r="I623">
        <v>2288695111</v>
      </c>
      <c r="J623">
        <v>188</v>
      </c>
      <c r="K623">
        <v>34</v>
      </c>
      <c r="L623">
        <v>84</v>
      </c>
      <c r="M623">
        <v>44</v>
      </c>
      <c r="N623">
        <v>48</v>
      </c>
    </row>
    <row r="624" spans="1:14">
      <c r="A624" s="11" t="s">
        <v>1101</v>
      </c>
      <c r="B624" s="12" t="s">
        <v>1102</v>
      </c>
      <c r="C624">
        <v>2</v>
      </c>
      <c r="D624">
        <v>2021</v>
      </c>
      <c r="E624">
        <v>1</v>
      </c>
      <c r="F624">
        <v>28</v>
      </c>
      <c r="G624">
        <v>8087</v>
      </c>
      <c r="H624">
        <v>0</v>
      </c>
      <c r="I624">
        <v>720825549</v>
      </c>
      <c r="J624">
        <v>92</v>
      </c>
      <c r="K624">
        <v>34</v>
      </c>
      <c r="L624">
        <v>102</v>
      </c>
      <c r="M624">
        <v>89</v>
      </c>
      <c r="N624">
        <v>82</v>
      </c>
    </row>
    <row r="625" spans="1:14">
      <c r="A625" s="13" t="s">
        <v>1103</v>
      </c>
      <c r="B625" s="14" t="s">
        <v>1104</v>
      </c>
      <c r="C625">
        <v>1</v>
      </c>
      <c r="D625">
        <v>2013</v>
      </c>
      <c r="E625">
        <v>8</v>
      </c>
      <c r="F625">
        <v>1</v>
      </c>
      <c r="G625">
        <v>27221</v>
      </c>
      <c r="H625">
        <v>0</v>
      </c>
      <c r="I625">
        <v>2086124197</v>
      </c>
      <c r="J625">
        <v>308</v>
      </c>
      <c r="K625">
        <v>118</v>
      </c>
      <c r="L625">
        <v>120</v>
      </c>
      <c r="M625">
        <v>42</v>
      </c>
      <c r="N625">
        <v>26</v>
      </c>
    </row>
    <row r="626" spans="1:14">
      <c r="A626" s="11" t="s">
        <v>1105</v>
      </c>
      <c r="B626" s="12" t="s">
        <v>1106</v>
      </c>
      <c r="C626">
        <v>1</v>
      </c>
      <c r="D626">
        <v>1991</v>
      </c>
      <c r="E626">
        <v>9</v>
      </c>
      <c r="F626">
        <v>10</v>
      </c>
      <c r="G626">
        <v>49991</v>
      </c>
      <c r="H626">
        <v>9</v>
      </c>
      <c r="I626">
        <v>1690192927</v>
      </c>
      <c r="J626">
        <v>265</v>
      </c>
      <c r="K626">
        <v>121</v>
      </c>
      <c r="L626">
        <v>117</v>
      </c>
      <c r="M626">
        <v>52</v>
      </c>
      <c r="N626">
        <v>91</v>
      </c>
    </row>
    <row r="627" spans="1:14">
      <c r="A627" s="13" t="s">
        <v>1107</v>
      </c>
      <c r="B627" s="14" t="s">
        <v>1108</v>
      </c>
      <c r="C627">
        <v>1</v>
      </c>
      <c r="D627">
        <v>2019</v>
      </c>
      <c r="E627">
        <v>3</v>
      </c>
      <c r="F627">
        <v>7</v>
      </c>
      <c r="G627">
        <v>6646</v>
      </c>
      <c r="H627">
        <v>0</v>
      </c>
      <c r="I627">
        <v>991336132</v>
      </c>
      <c r="J627">
        <v>107</v>
      </c>
      <c r="K627">
        <v>47</v>
      </c>
      <c r="L627">
        <v>72</v>
      </c>
      <c r="M627">
        <v>45</v>
      </c>
      <c r="N627">
        <v>33</v>
      </c>
    </row>
    <row r="628" spans="1:14">
      <c r="A628" s="11" t="s">
        <v>1109</v>
      </c>
      <c r="B628" s="12" t="s">
        <v>1110</v>
      </c>
      <c r="C628">
        <v>2</v>
      </c>
      <c r="D628">
        <v>2021</v>
      </c>
      <c r="E628">
        <v>9</v>
      </c>
      <c r="F628">
        <v>3</v>
      </c>
      <c r="G628">
        <v>5403</v>
      </c>
      <c r="H628">
        <v>6</v>
      </c>
      <c r="I628">
        <v>593917618</v>
      </c>
      <c r="J628">
        <v>118</v>
      </c>
      <c r="K628">
        <v>116</v>
      </c>
      <c r="L628">
        <v>168</v>
      </c>
      <c r="M628">
        <v>67</v>
      </c>
      <c r="N628">
        <v>47</v>
      </c>
    </row>
    <row r="629" spans="1:14">
      <c r="A629" s="13" t="s">
        <v>1111</v>
      </c>
      <c r="B629" s="14" t="s">
        <v>1112</v>
      </c>
      <c r="C629">
        <v>2</v>
      </c>
      <c r="D629">
        <v>2021</v>
      </c>
      <c r="E629">
        <v>11</v>
      </c>
      <c r="F629">
        <v>11</v>
      </c>
      <c r="G629">
        <v>755</v>
      </c>
      <c r="H629">
        <v>4</v>
      </c>
      <c r="I629">
        <v>200972675</v>
      </c>
      <c r="J629">
        <v>22</v>
      </c>
      <c r="K629">
        <v>3</v>
      </c>
      <c r="L629">
        <v>94</v>
      </c>
      <c r="M629">
        <v>52</v>
      </c>
      <c r="N629">
        <v>69</v>
      </c>
    </row>
    <row r="630" spans="1:14">
      <c r="A630" s="11" t="s">
        <v>1113</v>
      </c>
      <c r="B630" s="12" t="s">
        <v>1114</v>
      </c>
      <c r="C630">
        <v>1</v>
      </c>
      <c r="D630">
        <v>2022</v>
      </c>
      <c r="E630">
        <v>1</v>
      </c>
      <c r="F630">
        <v>10</v>
      </c>
      <c r="G630">
        <v>254</v>
      </c>
      <c r="H630">
        <v>0</v>
      </c>
      <c r="I630">
        <v>71014967</v>
      </c>
      <c r="J630">
        <v>0</v>
      </c>
      <c r="K630">
        <v>4</v>
      </c>
      <c r="L630">
        <v>145</v>
      </c>
      <c r="M630">
        <v>41</v>
      </c>
      <c r="N630">
        <v>88</v>
      </c>
    </row>
    <row r="631" spans="1:14">
      <c r="A631" s="13" t="s">
        <v>1115</v>
      </c>
      <c r="B631" s="14" t="s">
        <v>1116</v>
      </c>
      <c r="C631">
        <v>2</v>
      </c>
      <c r="D631">
        <v>2021</v>
      </c>
      <c r="E631">
        <v>8</v>
      </c>
      <c r="F631">
        <v>27</v>
      </c>
      <c r="G631">
        <v>6308</v>
      </c>
      <c r="H631">
        <v>5</v>
      </c>
      <c r="I631">
        <v>560222750</v>
      </c>
      <c r="J631">
        <v>114</v>
      </c>
      <c r="K631">
        <v>15</v>
      </c>
      <c r="L631">
        <v>134</v>
      </c>
      <c r="M631">
        <v>71</v>
      </c>
      <c r="N631">
        <v>61</v>
      </c>
    </row>
    <row r="632" spans="1:14">
      <c r="A632" s="11" t="s">
        <v>1117</v>
      </c>
      <c r="B632" s="12" t="s">
        <v>1118</v>
      </c>
      <c r="C632">
        <v>1</v>
      </c>
      <c r="D632">
        <v>2003</v>
      </c>
      <c r="E632">
        <v>9</v>
      </c>
      <c r="F632">
        <v>23</v>
      </c>
      <c r="G632">
        <v>51979</v>
      </c>
      <c r="H632">
        <v>15</v>
      </c>
      <c r="I632">
        <v>1806617704</v>
      </c>
      <c r="J632">
        <v>306</v>
      </c>
      <c r="K632">
        <v>99</v>
      </c>
      <c r="L632">
        <v>148</v>
      </c>
      <c r="M632">
        <v>35</v>
      </c>
      <c r="N632">
        <v>93</v>
      </c>
    </row>
    <row r="633" spans="1:14">
      <c r="A633" s="13" t="s">
        <v>1119</v>
      </c>
      <c r="B633" s="14" t="s">
        <v>440</v>
      </c>
      <c r="C633">
        <v>1</v>
      </c>
      <c r="D633">
        <v>2022</v>
      </c>
      <c r="E633">
        <v>1</v>
      </c>
      <c r="F633">
        <v>10</v>
      </c>
      <c r="G633">
        <v>246</v>
      </c>
      <c r="H633">
        <v>0</v>
      </c>
      <c r="I633">
        <v>77337771</v>
      </c>
      <c r="J633">
        <v>2</v>
      </c>
      <c r="K633">
        <v>12</v>
      </c>
      <c r="L633">
        <v>127</v>
      </c>
      <c r="M633">
        <v>60</v>
      </c>
      <c r="N633">
        <v>89</v>
      </c>
    </row>
    <row r="634" spans="1:14">
      <c r="A634" s="11" t="s">
        <v>1120</v>
      </c>
      <c r="B634" s="12" t="s">
        <v>1121</v>
      </c>
      <c r="C634">
        <v>3</v>
      </c>
      <c r="D634">
        <v>2021</v>
      </c>
      <c r="E634">
        <v>6</v>
      </c>
      <c r="F634">
        <v>24</v>
      </c>
      <c r="G634">
        <v>6556</v>
      </c>
      <c r="H634">
        <v>0</v>
      </c>
      <c r="I634">
        <v>528544703</v>
      </c>
      <c r="J634">
        <v>93</v>
      </c>
      <c r="K634">
        <v>5</v>
      </c>
      <c r="L634">
        <v>172</v>
      </c>
      <c r="M634">
        <v>74</v>
      </c>
      <c r="N634">
        <v>66</v>
      </c>
    </row>
    <row r="635" spans="1:14">
      <c r="A635" s="13" t="s">
        <v>1122</v>
      </c>
      <c r="B635" s="14" t="s">
        <v>795</v>
      </c>
      <c r="C635">
        <v>1</v>
      </c>
      <c r="D635">
        <v>2019</v>
      </c>
      <c r="E635">
        <v>11</v>
      </c>
      <c r="F635">
        <v>7</v>
      </c>
      <c r="G635">
        <v>5728</v>
      </c>
      <c r="H635">
        <v>0</v>
      </c>
      <c r="I635">
        <v>865640097</v>
      </c>
      <c r="J635">
        <v>85</v>
      </c>
      <c r="K635">
        <v>87</v>
      </c>
      <c r="L635">
        <v>90</v>
      </c>
      <c r="M635">
        <v>75</v>
      </c>
      <c r="N635">
        <v>46</v>
      </c>
    </row>
    <row r="636" spans="1:14">
      <c r="A636" s="11" t="s">
        <v>1123</v>
      </c>
      <c r="B636" s="12" t="s">
        <v>1124</v>
      </c>
      <c r="C636">
        <v>2</v>
      </c>
      <c r="D636">
        <v>2018</v>
      </c>
      <c r="E636">
        <v>9</v>
      </c>
      <c r="F636">
        <v>27</v>
      </c>
      <c r="G636">
        <v>16636</v>
      </c>
      <c r="H636">
        <v>12</v>
      </c>
      <c r="I636">
        <v>2159346687</v>
      </c>
      <c r="J636">
        <v>368</v>
      </c>
      <c r="K636">
        <v>155</v>
      </c>
      <c r="L636">
        <v>96</v>
      </c>
      <c r="M636">
        <v>57</v>
      </c>
      <c r="N636">
        <v>40</v>
      </c>
    </row>
    <row r="637" spans="1:14">
      <c r="A637" s="13" t="s">
        <v>1125</v>
      </c>
      <c r="B637" s="14" t="s">
        <v>440</v>
      </c>
      <c r="C637">
        <v>1</v>
      </c>
      <c r="D637">
        <v>2022</v>
      </c>
      <c r="E637">
        <v>1</v>
      </c>
      <c r="F637">
        <v>10</v>
      </c>
      <c r="G637">
        <v>461</v>
      </c>
      <c r="H637">
        <v>0</v>
      </c>
      <c r="I637">
        <v>211372494</v>
      </c>
      <c r="J637">
        <v>10</v>
      </c>
      <c r="K637">
        <v>56</v>
      </c>
      <c r="L637">
        <v>138</v>
      </c>
      <c r="M637">
        <v>74</v>
      </c>
      <c r="N637">
        <v>67</v>
      </c>
    </row>
    <row r="638" spans="1:14">
      <c r="A638" s="11" t="s">
        <v>1126</v>
      </c>
      <c r="B638" s="12" t="s">
        <v>1127</v>
      </c>
      <c r="C638">
        <v>2</v>
      </c>
      <c r="D638">
        <v>2021</v>
      </c>
      <c r="E638">
        <v>4</v>
      </c>
      <c r="F638">
        <v>28</v>
      </c>
      <c r="G638">
        <v>4893</v>
      </c>
      <c r="H638">
        <v>4</v>
      </c>
      <c r="I638">
        <v>651732901</v>
      </c>
      <c r="J638">
        <v>143</v>
      </c>
      <c r="K638">
        <v>24</v>
      </c>
      <c r="L638">
        <v>120</v>
      </c>
      <c r="M638">
        <v>72</v>
      </c>
      <c r="N638">
        <v>72</v>
      </c>
    </row>
    <row r="639" spans="1:14">
      <c r="A639" s="13" t="s">
        <v>1128</v>
      </c>
      <c r="B639" s="14" t="s">
        <v>223</v>
      </c>
      <c r="C639">
        <v>1</v>
      </c>
      <c r="D639">
        <v>2021</v>
      </c>
      <c r="E639">
        <v>7</v>
      </c>
      <c r="F639">
        <v>9</v>
      </c>
      <c r="G639">
        <v>1801</v>
      </c>
      <c r="H639">
        <v>2</v>
      </c>
      <c r="I639">
        <v>608334048</v>
      </c>
      <c r="J639">
        <v>77</v>
      </c>
      <c r="K639">
        <v>134</v>
      </c>
      <c r="L639">
        <v>125</v>
      </c>
      <c r="M639">
        <v>70</v>
      </c>
      <c r="N639">
        <v>74</v>
      </c>
    </row>
    <row r="640" spans="1:14">
      <c r="A640" s="11" t="s">
        <v>1129</v>
      </c>
      <c r="B640" s="12" t="s">
        <v>1130</v>
      </c>
      <c r="C640">
        <v>4</v>
      </c>
      <c r="D640">
        <v>2021</v>
      </c>
      <c r="E640">
        <v>1</v>
      </c>
      <c r="F640">
        <v>15</v>
      </c>
      <c r="G640">
        <v>12043</v>
      </c>
      <c r="H640">
        <v>0</v>
      </c>
      <c r="I640">
        <v>863756573</v>
      </c>
      <c r="J640">
        <v>209</v>
      </c>
      <c r="K640">
        <v>54</v>
      </c>
      <c r="L640">
        <v>123</v>
      </c>
      <c r="M640">
        <v>82</v>
      </c>
      <c r="N640">
        <v>86</v>
      </c>
    </row>
    <row r="641" spans="1:14">
      <c r="A641" s="13" t="s">
        <v>1131</v>
      </c>
      <c r="B641" s="14" t="s">
        <v>1132</v>
      </c>
      <c r="C641">
        <v>1</v>
      </c>
      <c r="D641">
        <v>2021</v>
      </c>
      <c r="E641">
        <v>4</v>
      </c>
      <c r="F641">
        <v>9</v>
      </c>
      <c r="G641">
        <v>4731</v>
      </c>
      <c r="H641">
        <v>0</v>
      </c>
      <c r="I641">
        <v>797402345</v>
      </c>
      <c r="J641">
        <v>141</v>
      </c>
      <c r="K641">
        <v>12</v>
      </c>
      <c r="L641">
        <v>81</v>
      </c>
      <c r="M641">
        <v>79</v>
      </c>
      <c r="N641">
        <v>54</v>
      </c>
    </row>
    <row r="642" spans="1:14">
      <c r="A642" s="16" t="s">
        <v>1133</v>
      </c>
      <c r="B642" s="12" t="s">
        <v>1134</v>
      </c>
      <c r="C642">
        <v>2</v>
      </c>
      <c r="D642">
        <v>2002</v>
      </c>
      <c r="E642">
        <v>5</v>
      </c>
      <c r="F642">
        <v>26</v>
      </c>
      <c r="G642">
        <v>22923</v>
      </c>
      <c r="H642">
        <v>0</v>
      </c>
      <c r="I642">
        <v>1695712020</v>
      </c>
      <c r="J642">
        <v>78</v>
      </c>
      <c r="K642">
        <v>46</v>
      </c>
      <c r="L642">
        <v>171</v>
      </c>
      <c r="M642">
        <v>55</v>
      </c>
      <c r="N642">
        <v>85</v>
      </c>
    </row>
    <row r="643" spans="1:14">
      <c r="A643" s="13" t="s">
        <v>1135</v>
      </c>
      <c r="B643" s="14" t="s">
        <v>1136</v>
      </c>
      <c r="C643">
        <v>1</v>
      </c>
      <c r="D643">
        <v>2019</v>
      </c>
      <c r="E643">
        <v>9</v>
      </c>
      <c r="F643">
        <v>20</v>
      </c>
      <c r="G643">
        <v>9974</v>
      </c>
      <c r="H643">
        <v>2</v>
      </c>
      <c r="I643">
        <v>1759567999</v>
      </c>
      <c r="J643">
        <v>272</v>
      </c>
      <c r="K643">
        <v>67</v>
      </c>
      <c r="L643">
        <v>91</v>
      </c>
      <c r="M643">
        <v>77</v>
      </c>
      <c r="N643">
        <v>32</v>
      </c>
    </row>
    <row r="644" spans="1:14">
      <c r="A644" s="11" t="s">
        <v>1137</v>
      </c>
      <c r="B644" s="12" t="s">
        <v>1138</v>
      </c>
      <c r="C644">
        <v>8</v>
      </c>
      <c r="D644">
        <v>2021</v>
      </c>
      <c r="E644">
        <v>8</v>
      </c>
      <c r="F644">
        <v>12</v>
      </c>
      <c r="G644">
        <v>1560</v>
      </c>
      <c r="H644">
        <v>0</v>
      </c>
      <c r="I644">
        <v>223319934</v>
      </c>
      <c r="J644">
        <v>72</v>
      </c>
      <c r="K644">
        <v>0</v>
      </c>
      <c r="L644">
        <v>84</v>
      </c>
      <c r="M644">
        <v>56</v>
      </c>
      <c r="N644">
        <v>76</v>
      </c>
    </row>
    <row r="645" spans="1:14">
      <c r="A645" s="13" t="s">
        <v>1139</v>
      </c>
      <c r="B645" s="14" t="s">
        <v>1140</v>
      </c>
      <c r="C645">
        <v>2</v>
      </c>
      <c r="D645">
        <v>2022</v>
      </c>
      <c r="E645">
        <v>1</v>
      </c>
      <c r="F645">
        <v>7</v>
      </c>
      <c r="G645">
        <v>620</v>
      </c>
      <c r="H645">
        <v>0</v>
      </c>
      <c r="I645">
        <v>54937991</v>
      </c>
      <c r="J645">
        <v>17</v>
      </c>
      <c r="K645">
        <v>3</v>
      </c>
      <c r="L645">
        <v>115</v>
      </c>
      <c r="M645">
        <v>90</v>
      </c>
      <c r="N645">
        <v>54</v>
      </c>
    </row>
    <row r="646" spans="1:14">
      <c r="A646" s="11" t="s">
        <v>1141</v>
      </c>
      <c r="B646" s="12" t="s">
        <v>1142</v>
      </c>
      <c r="C646">
        <v>2</v>
      </c>
      <c r="D646">
        <v>2021</v>
      </c>
      <c r="E646">
        <v>12</v>
      </c>
      <c r="F646">
        <v>29</v>
      </c>
      <c r="G646">
        <v>3270</v>
      </c>
      <c r="H646">
        <v>0</v>
      </c>
      <c r="I646">
        <v>226897599</v>
      </c>
      <c r="J646">
        <v>89</v>
      </c>
      <c r="K646">
        <v>21</v>
      </c>
      <c r="L646">
        <v>125</v>
      </c>
      <c r="M646">
        <v>69</v>
      </c>
      <c r="N646">
        <v>89</v>
      </c>
    </row>
    <row r="647" spans="1:14">
      <c r="A647" s="13" t="s">
        <v>1143</v>
      </c>
      <c r="B647" s="14" t="s">
        <v>1144</v>
      </c>
      <c r="C647">
        <v>2</v>
      </c>
      <c r="D647">
        <v>2021</v>
      </c>
      <c r="E647">
        <v>10</v>
      </c>
      <c r="F647">
        <v>14</v>
      </c>
      <c r="G647">
        <v>580</v>
      </c>
      <c r="H647">
        <v>0</v>
      </c>
      <c r="I647">
        <v>258316038</v>
      </c>
      <c r="J647">
        <v>24</v>
      </c>
      <c r="K647">
        <v>92</v>
      </c>
      <c r="L647">
        <v>122</v>
      </c>
      <c r="M647">
        <v>80</v>
      </c>
      <c r="N647">
        <v>69</v>
      </c>
    </row>
    <row r="648" spans="1:14">
      <c r="A648" s="11" t="s">
        <v>1145</v>
      </c>
      <c r="B648" s="12" t="s">
        <v>1146</v>
      </c>
      <c r="C648">
        <v>2</v>
      </c>
      <c r="D648">
        <v>2021</v>
      </c>
      <c r="E648">
        <v>4</v>
      </c>
      <c r="F648">
        <v>29</v>
      </c>
      <c r="G648">
        <v>3406</v>
      </c>
      <c r="H648">
        <v>16</v>
      </c>
      <c r="I648">
        <v>596152090</v>
      </c>
      <c r="J648">
        <v>61</v>
      </c>
      <c r="K648">
        <v>23</v>
      </c>
      <c r="L648">
        <v>92</v>
      </c>
      <c r="M648">
        <v>85</v>
      </c>
      <c r="N648">
        <v>54</v>
      </c>
    </row>
    <row r="649" spans="1:14">
      <c r="A649" s="13" t="s">
        <v>1147</v>
      </c>
      <c r="B649" s="14" t="s">
        <v>1148</v>
      </c>
      <c r="C649">
        <v>3</v>
      </c>
      <c r="D649">
        <v>2021</v>
      </c>
      <c r="E649">
        <v>11</v>
      </c>
      <c r="F649">
        <v>18</v>
      </c>
      <c r="G649">
        <v>903</v>
      </c>
      <c r="H649">
        <v>0</v>
      </c>
      <c r="I649">
        <v>177129919</v>
      </c>
      <c r="J649">
        <v>30</v>
      </c>
      <c r="K649">
        <v>26</v>
      </c>
      <c r="L649">
        <v>90</v>
      </c>
      <c r="M649">
        <v>63</v>
      </c>
      <c r="N649">
        <v>75</v>
      </c>
    </row>
    <row r="650" spans="1:14">
      <c r="A650" s="11" t="s">
        <v>1149</v>
      </c>
      <c r="B650" s="12" t="s">
        <v>1150</v>
      </c>
      <c r="C650">
        <v>2</v>
      </c>
      <c r="D650">
        <v>2022</v>
      </c>
      <c r="E650">
        <v>2</v>
      </c>
      <c r="F650">
        <v>10</v>
      </c>
      <c r="G650">
        <v>6809</v>
      </c>
      <c r="H650">
        <v>28</v>
      </c>
      <c r="I650">
        <v>716591492</v>
      </c>
      <c r="J650">
        <v>151</v>
      </c>
      <c r="K650">
        <v>102</v>
      </c>
      <c r="L650">
        <v>94</v>
      </c>
      <c r="M650">
        <v>84</v>
      </c>
      <c r="N650">
        <v>70</v>
      </c>
    </row>
    <row r="651" spans="1:14">
      <c r="A651" s="13" t="s">
        <v>1151</v>
      </c>
      <c r="B651" s="14" t="s">
        <v>1152</v>
      </c>
      <c r="C651">
        <v>2</v>
      </c>
      <c r="D651">
        <v>1999</v>
      </c>
      <c r="E651">
        <v>1</v>
      </c>
      <c r="F651">
        <v>1</v>
      </c>
      <c r="G651">
        <v>33966</v>
      </c>
      <c r="H651">
        <v>0</v>
      </c>
      <c r="I651">
        <v>1210599487</v>
      </c>
      <c r="J651">
        <v>141</v>
      </c>
      <c r="K651">
        <v>78</v>
      </c>
      <c r="L651">
        <v>93</v>
      </c>
      <c r="M651">
        <v>81</v>
      </c>
      <c r="N651">
        <v>78</v>
      </c>
    </row>
    <row r="652" spans="1:14">
      <c r="A652" s="11" t="s">
        <v>1153</v>
      </c>
      <c r="B652" s="12" t="s">
        <v>215</v>
      </c>
      <c r="C652">
        <v>1</v>
      </c>
      <c r="D652">
        <v>2022</v>
      </c>
      <c r="E652">
        <v>2</v>
      </c>
      <c r="F652">
        <v>11</v>
      </c>
      <c r="G652">
        <v>590</v>
      </c>
      <c r="H652">
        <v>5</v>
      </c>
      <c r="I652">
        <v>246376690</v>
      </c>
      <c r="J652">
        <v>4</v>
      </c>
      <c r="K652">
        <v>113</v>
      </c>
      <c r="L652">
        <v>130</v>
      </c>
      <c r="M652">
        <v>51</v>
      </c>
      <c r="N652">
        <v>76</v>
      </c>
    </row>
    <row r="653" spans="1:14">
      <c r="A653" s="13" t="s">
        <v>1154</v>
      </c>
      <c r="B653" s="14" t="s">
        <v>1155</v>
      </c>
      <c r="C653">
        <v>1</v>
      </c>
      <c r="D653">
        <v>2022</v>
      </c>
      <c r="E653">
        <v>2</v>
      </c>
      <c r="F653">
        <v>11</v>
      </c>
      <c r="G653">
        <v>3766</v>
      </c>
      <c r="H653">
        <v>0</v>
      </c>
      <c r="I653">
        <v>496311364</v>
      </c>
      <c r="J653">
        <v>76</v>
      </c>
      <c r="K653">
        <v>0</v>
      </c>
      <c r="L653">
        <v>180</v>
      </c>
      <c r="M653">
        <v>35</v>
      </c>
      <c r="N653">
        <v>61</v>
      </c>
    </row>
    <row r="654" spans="1:14">
      <c r="A654" s="11" t="s">
        <v>1156</v>
      </c>
      <c r="B654" s="12" t="s">
        <v>1157</v>
      </c>
      <c r="C654">
        <v>2</v>
      </c>
      <c r="D654">
        <v>2022</v>
      </c>
      <c r="E654">
        <v>2</v>
      </c>
      <c r="F654">
        <v>11</v>
      </c>
      <c r="G654">
        <v>1430</v>
      </c>
      <c r="H654">
        <v>0</v>
      </c>
      <c r="I654">
        <v>146789379</v>
      </c>
      <c r="J654">
        <v>46</v>
      </c>
      <c r="K654">
        <v>1</v>
      </c>
      <c r="L654">
        <v>134</v>
      </c>
      <c r="M654">
        <v>53</v>
      </c>
      <c r="N654">
        <v>31</v>
      </c>
    </row>
    <row r="655" spans="1:14">
      <c r="A655" s="13" t="s">
        <v>1158</v>
      </c>
      <c r="B655" s="14" t="s">
        <v>1152</v>
      </c>
      <c r="C655">
        <v>2</v>
      </c>
      <c r="D655">
        <v>1999</v>
      </c>
      <c r="E655">
        <v>1</v>
      </c>
      <c r="F655">
        <v>1</v>
      </c>
      <c r="G655">
        <v>31762</v>
      </c>
      <c r="H655">
        <v>0</v>
      </c>
      <c r="I655">
        <v>843309044</v>
      </c>
      <c r="J655">
        <v>142</v>
      </c>
      <c r="K655">
        <v>40</v>
      </c>
      <c r="L655">
        <v>95</v>
      </c>
      <c r="M655">
        <v>92</v>
      </c>
      <c r="N655">
        <v>89</v>
      </c>
    </row>
    <row r="656" spans="1:14">
      <c r="A656" s="11" t="s">
        <v>1159</v>
      </c>
      <c r="B656" s="12" t="s">
        <v>1160</v>
      </c>
      <c r="C656">
        <v>1</v>
      </c>
      <c r="D656">
        <v>2022</v>
      </c>
      <c r="E656">
        <v>1</v>
      </c>
      <c r="F656">
        <v>19</v>
      </c>
      <c r="G656">
        <v>4049</v>
      </c>
      <c r="H656">
        <v>0</v>
      </c>
      <c r="I656">
        <v>500340342</v>
      </c>
      <c r="J656">
        <v>119</v>
      </c>
      <c r="K656">
        <v>6</v>
      </c>
      <c r="L656">
        <v>184</v>
      </c>
      <c r="M656">
        <v>69</v>
      </c>
      <c r="N656">
        <v>63</v>
      </c>
    </row>
    <row r="657" spans="1:14">
      <c r="A657" s="13" t="s">
        <v>1161</v>
      </c>
      <c r="B657" s="14" t="s">
        <v>1162</v>
      </c>
      <c r="C657">
        <v>3</v>
      </c>
      <c r="D657">
        <v>2022</v>
      </c>
      <c r="E657">
        <v>2</v>
      </c>
      <c r="F657">
        <v>11</v>
      </c>
      <c r="G657">
        <v>2096</v>
      </c>
      <c r="H657">
        <v>0</v>
      </c>
      <c r="I657">
        <v>107255472</v>
      </c>
      <c r="J657">
        <v>34</v>
      </c>
      <c r="K657">
        <v>3</v>
      </c>
      <c r="L657">
        <v>147</v>
      </c>
      <c r="M657">
        <v>47</v>
      </c>
      <c r="N657">
        <v>80</v>
      </c>
    </row>
    <row r="658" spans="1:14">
      <c r="A658" s="11" t="s">
        <v>1163</v>
      </c>
      <c r="B658" s="12" t="s">
        <v>1164</v>
      </c>
      <c r="C658">
        <v>2</v>
      </c>
      <c r="D658">
        <v>2022</v>
      </c>
      <c r="E658">
        <v>2</v>
      </c>
      <c r="F658">
        <v>2</v>
      </c>
      <c r="G658">
        <v>1175</v>
      </c>
      <c r="H658">
        <v>0</v>
      </c>
      <c r="I658">
        <v>135079152</v>
      </c>
      <c r="J658">
        <v>34</v>
      </c>
      <c r="K658">
        <v>1</v>
      </c>
      <c r="L658">
        <v>123</v>
      </c>
      <c r="M658">
        <v>52</v>
      </c>
      <c r="N658">
        <v>60</v>
      </c>
    </row>
    <row r="659" spans="1:14">
      <c r="A659" s="13" t="s">
        <v>1165</v>
      </c>
      <c r="B659" s="14" t="s">
        <v>371</v>
      </c>
      <c r="C659">
        <v>1</v>
      </c>
      <c r="D659">
        <v>2012</v>
      </c>
      <c r="E659">
        <v>1</v>
      </c>
      <c r="F659">
        <v>1</v>
      </c>
      <c r="G659">
        <v>29499</v>
      </c>
      <c r="H659">
        <v>11</v>
      </c>
      <c r="I659">
        <v>822239726</v>
      </c>
      <c r="J659">
        <v>124</v>
      </c>
      <c r="K659">
        <v>27</v>
      </c>
      <c r="L659">
        <v>123</v>
      </c>
      <c r="M659">
        <v>91</v>
      </c>
      <c r="N659">
        <v>61</v>
      </c>
    </row>
    <row r="660" spans="1:14">
      <c r="A660" s="11" t="s">
        <v>1166</v>
      </c>
      <c r="B660" s="12" t="s">
        <v>1167</v>
      </c>
      <c r="C660">
        <v>1</v>
      </c>
      <c r="D660">
        <v>2002</v>
      </c>
      <c r="E660">
        <v>1</v>
      </c>
      <c r="F660">
        <v>1</v>
      </c>
      <c r="G660">
        <v>30427</v>
      </c>
      <c r="H660">
        <v>7</v>
      </c>
      <c r="I660">
        <v>1202722675</v>
      </c>
      <c r="J660">
        <v>235</v>
      </c>
      <c r="K660">
        <v>106</v>
      </c>
      <c r="L660">
        <v>90</v>
      </c>
      <c r="M660">
        <v>90</v>
      </c>
      <c r="N660">
        <v>71</v>
      </c>
    </row>
    <row r="661" spans="1:14">
      <c r="A661" s="13" t="s">
        <v>1168</v>
      </c>
      <c r="B661" s="14" t="s">
        <v>1089</v>
      </c>
      <c r="C661">
        <v>1</v>
      </c>
      <c r="D661">
        <v>2022</v>
      </c>
      <c r="E661">
        <v>2</v>
      </c>
      <c r="F661">
        <v>4</v>
      </c>
      <c r="G661">
        <v>2711</v>
      </c>
      <c r="H661">
        <v>0</v>
      </c>
      <c r="I661">
        <v>343197054</v>
      </c>
      <c r="J661">
        <v>105</v>
      </c>
      <c r="K661">
        <v>12</v>
      </c>
      <c r="L661">
        <v>160</v>
      </c>
      <c r="M661">
        <v>61</v>
      </c>
      <c r="N661">
        <v>64</v>
      </c>
    </row>
    <row r="662" spans="1:14">
      <c r="A662" s="11" t="s">
        <v>1169</v>
      </c>
      <c r="B662" s="12" t="s">
        <v>1170</v>
      </c>
      <c r="C662">
        <v>1</v>
      </c>
      <c r="D662">
        <v>2013</v>
      </c>
      <c r="E662">
        <v>8</v>
      </c>
      <c r="F662">
        <v>16</v>
      </c>
      <c r="G662">
        <v>4310</v>
      </c>
      <c r="H662">
        <v>0</v>
      </c>
      <c r="I662">
        <v>240769997</v>
      </c>
      <c r="J662">
        <v>13</v>
      </c>
      <c r="K662">
        <v>0</v>
      </c>
      <c r="L662">
        <v>115</v>
      </c>
      <c r="M662">
        <v>60</v>
      </c>
      <c r="N662">
        <v>71</v>
      </c>
    </row>
    <row r="663" spans="1:14">
      <c r="A663" s="13" t="s">
        <v>1171</v>
      </c>
      <c r="B663" s="14" t="s">
        <v>1172</v>
      </c>
      <c r="C663">
        <v>2</v>
      </c>
      <c r="D663">
        <v>2019</v>
      </c>
      <c r="E663">
        <v>8</v>
      </c>
      <c r="F663">
        <v>4</v>
      </c>
      <c r="G663">
        <v>5342</v>
      </c>
      <c r="H663">
        <v>0</v>
      </c>
      <c r="I663">
        <v>426204830</v>
      </c>
      <c r="J663">
        <v>33</v>
      </c>
      <c r="K663">
        <v>123</v>
      </c>
      <c r="L663">
        <v>141</v>
      </c>
      <c r="M663">
        <v>37</v>
      </c>
      <c r="N663">
        <v>67</v>
      </c>
    </row>
    <row r="664" spans="1:14">
      <c r="A664" s="11" t="s">
        <v>1173</v>
      </c>
      <c r="B664" s="12" t="s">
        <v>1174</v>
      </c>
      <c r="C664">
        <v>1</v>
      </c>
      <c r="D664">
        <v>2016</v>
      </c>
      <c r="E664">
        <v>8</v>
      </c>
      <c r="F664">
        <v>5</v>
      </c>
      <c r="G664">
        <v>2393</v>
      </c>
      <c r="H664">
        <v>0</v>
      </c>
      <c r="I664">
        <v>421135627</v>
      </c>
      <c r="J664">
        <v>22</v>
      </c>
      <c r="K664">
        <v>13</v>
      </c>
      <c r="L664">
        <v>160</v>
      </c>
      <c r="M664">
        <v>31</v>
      </c>
      <c r="N664">
        <v>88</v>
      </c>
    </row>
    <row r="665" spans="1:14">
      <c r="A665" s="13" t="s">
        <v>1175</v>
      </c>
      <c r="B665" s="14" t="s">
        <v>501</v>
      </c>
      <c r="C665">
        <v>1</v>
      </c>
      <c r="D665">
        <v>2019</v>
      </c>
      <c r="E665">
        <v>10</v>
      </c>
      <c r="F665">
        <v>4</v>
      </c>
      <c r="G665">
        <v>3444</v>
      </c>
      <c r="H665">
        <v>7</v>
      </c>
      <c r="I665">
        <v>554875730</v>
      </c>
      <c r="J665">
        <v>24</v>
      </c>
      <c r="K665">
        <v>85</v>
      </c>
      <c r="L665">
        <v>145</v>
      </c>
      <c r="M665">
        <v>57</v>
      </c>
      <c r="N665">
        <v>66</v>
      </c>
    </row>
    <row r="666" spans="1:14">
      <c r="A666" s="11" t="s">
        <v>1176</v>
      </c>
      <c r="B666" s="12" t="s">
        <v>501</v>
      </c>
      <c r="C666">
        <v>1</v>
      </c>
      <c r="D666">
        <v>2019</v>
      </c>
      <c r="E666">
        <v>6</v>
      </c>
      <c r="F666">
        <v>21</v>
      </c>
      <c r="G666">
        <v>5443</v>
      </c>
      <c r="H666">
        <v>0</v>
      </c>
      <c r="I666">
        <v>467727006</v>
      </c>
      <c r="J666">
        <v>45</v>
      </c>
      <c r="K666">
        <v>1</v>
      </c>
      <c r="L666">
        <v>89</v>
      </c>
      <c r="M666">
        <v>46</v>
      </c>
      <c r="N666">
        <v>43</v>
      </c>
    </row>
    <row r="667" spans="1:14">
      <c r="A667" s="13" t="s">
        <v>1177</v>
      </c>
      <c r="B667" s="14" t="s">
        <v>1178</v>
      </c>
      <c r="C667">
        <v>3</v>
      </c>
      <c r="D667">
        <v>2020</v>
      </c>
      <c r="E667">
        <v>7</v>
      </c>
      <c r="F667">
        <v>24</v>
      </c>
      <c r="G667">
        <v>272</v>
      </c>
      <c r="H667">
        <v>4</v>
      </c>
      <c r="I667">
        <v>327498031</v>
      </c>
      <c r="J667">
        <v>7</v>
      </c>
      <c r="K667">
        <v>21</v>
      </c>
      <c r="L667">
        <v>95</v>
      </c>
      <c r="M667">
        <v>84</v>
      </c>
      <c r="N667">
        <v>72</v>
      </c>
    </row>
    <row r="668" spans="1:14">
      <c r="A668" s="11" t="s">
        <v>1179</v>
      </c>
      <c r="B668" s="12" t="s">
        <v>1100</v>
      </c>
      <c r="C668">
        <v>1</v>
      </c>
      <c r="D668">
        <v>2021</v>
      </c>
      <c r="E668">
        <v>12</v>
      </c>
      <c r="F668">
        <v>10</v>
      </c>
      <c r="G668">
        <v>975</v>
      </c>
      <c r="H668">
        <v>0</v>
      </c>
      <c r="I668">
        <v>185408548</v>
      </c>
      <c r="J668">
        <v>11</v>
      </c>
      <c r="K668">
        <v>0</v>
      </c>
      <c r="L668">
        <v>160</v>
      </c>
      <c r="M668">
        <v>60</v>
      </c>
      <c r="N668">
        <v>62</v>
      </c>
    </row>
    <row r="669" spans="1:14">
      <c r="A669" s="13" t="s">
        <v>1180</v>
      </c>
      <c r="B669" s="14" t="s">
        <v>1181</v>
      </c>
      <c r="C669">
        <v>7</v>
      </c>
      <c r="D669">
        <v>2022</v>
      </c>
      <c r="E669">
        <v>1</v>
      </c>
      <c r="F669">
        <v>14</v>
      </c>
      <c r="G669">
        <v>1034</v>
      </c>
      <c r="H669">
        <v>1</v>
      </c>
      <c r="I669">
        <v>245400167</v>
      </c>
      <c r="J669">
        <v>19</v>
      </c>
      <c r="K669">
        <v>5</v>
      </c>
      <c r="L669">
        <v>174</v>
      </c>
      <c r="M669">
        <v>67</v>
      </c>
      <c r="N669">
        <v>75</v>
      </c>
    </row>
    <row r="670" spans="1:14">
      <c r="A670" s="11" t="s">
        <v>1182</v>
      </c>
      <c r="B670" s="12" t="s">
        <v>1183</v>
      </c>
      <c r="C670">
        <v>3</v>
      </c>
      <c r="D670">
        <v>1995</v>
      </c>
      <c r="E670">
        <v>12</v>
      </c>
      <c r="F670">
        <v>28</v>
      </c>
      <c r="G670">
        <v>18773</v>
      </c>
      <c r="H670">
        <v>0</v>
      </c>
      <c r="I670">
        <v>579395142</v>
      </c>
      <c r="J670">
        <v>128</v>
      </c>
      <c r="K670">
        <v>17</v>
      </c>
      <c r="L670">
        <v>92</v>
      </c>
      <c r="M670">
        <v>77</v>
      </c>
      <c r="N670">
        <v>84</v>
      </c>
    </row>
    <row r="671" spans="1:14">
      <c r="A671" s="13" t="s">
        <v>1184</v>
      </c>
      <c r="B671" s="14" t="s">
        <v>1185</v>
      </c>
      <c r="C671">
        <v>2</v>
      </c>
      <c r="D671">
        <v>1999</v>
      </c>
      <c r="E671">
        <v>1</v>
      </c>
      <c r="F671">
        <v>1</v>
      </c>
      <c r="G671">
        <v>19067</v>
      </c>
      <c r="H671">
        <v>0</v>
      </c>
      <c r="I671">
        <v>675039469</v>
      </c>
      <c r="J671">
        <v>78</v>
      </c>
      <c r="K671">
        <v>15</v>
      </c>
      <c r="L671">
        <v>134</v>
      </c>
      <c r="M671">
        <v>93</v>
      </c>
      <c r="N671">
        <v>74</v>
      </c>
    </row>
    <row r="672" spans="1:14">
      <c r="A672" s="11" t="s">
        <v>1186</v>
      </c>
      <c r="B672" s="12" t="s">
        <v>1187</v>
      </c>
      <c r="C672">
        <v>2</v>
      </c>
      <c r="D672">
        <v>2021</v>
      </c>
      <c r="E672">
        <v>11</v>
      </c>
      <c r="F672">
        <v>19</v>
      </c>
      <c r="G672">
        <v>3541</v>
      </c>
      <c r="H672">
        <v>2</v>
      </c>
      <c r="I672">
        <v>252871192</v>
      </c>
      <c r="J672">
        <v>57</v>
      </c>
      <c r="K672">
        <v>13</v>
      </c>
      <c r="L672">
        <v>172</v>
      </c>
      <c r="M672">
        <v>31</v>
      </c>
      <c r="N672">
        <v>86</v>
      </c>
    </row>
    <row r="673" spans="1:14">
      <c r="A673" s="13" t="s">
        <v>1188</v>
      </c>
      <c r="B673" s="14" t="s">
        <v>1189</v>
      </c>
      <c r="C673">
        <v>1</v>
      </c>
      <c r="D673">
        <v>2021</v>
      </c>
      <c r="E673">
        <v>12</v>
      </c>
      <c r="F673">
        <v>17</v>
      </c>
      <c r="G673">
        <v>1492</v>
      </c>
      <c r="H673">
        <v>0</v>
      </c>
      <c r="I673">
        <v>231996128</v>
      </c>
      <c r="J673">
        <v>44</v>
      </c>
      <c r="K673">
        <v>63</v>
      </c>
      <c r="L673">
        <v>80</v>
      </c>
      <c r="M673">
        <v>76</v>
      </c>
      <c r="N673">
        <v>62</v>
      </c>
    </row>
    <row r="674" spans="1:14">
      <c r="A674" s="11" t="s">
        <v>1190</v>
      </c>
      <c r="B674" s="12" t="s">
        <v>1191</v>
      </c>
      <c r="C674">
        <v>1</v>
      </c>
      <c r="D674">
        <v>2017</v>
      </c>
      <c r="E674">
        <v>3</v>
      </c>
      <c r="F674">
        <v>30</v>
      </c>
      <c r="G674">
        <v>33206</v>
      </c>
      <c r="H674">
        <v>1</v>
      </c>
      <c r="I674">
        <v>1929770265</v>
      </c>
      <c r="J674">
        <v>284</v>
      </c>
      <c r="K674">
        <v>114</v>
      </c>
      <c r="L674">
        <v>150</v>
      </c>
      <c r="M674">
        <v>91</v>
      </c>
      <c r="N674">
        <v>60</v>
      </c>
    </row>
    <row r="675" spans="1:14">
      <c r="A675" s="13" t="s">
        <v>1192</v>
      </c>
      <c r="B675" s="14" t="s">
        <v>1193</v>
      </c>
      <c r="C675">
        <v>2</v>
      </c>
      <c r="D675">
        <v>1999</v>
      </c>
      <c r="E675">
        <v>11</v>
      </c>
      <c r="F675">
        <v>21</v>
      </c>
      <c r="G675">
        <v>17115</v>
      </c>
      <c r="H675">
        <v>0</v>
      </c>
      <c r="I675">
        <v>918915401</v>
      </c>
      <c r="J675">
        <v>83</v>
      </c>
      <c r="K675">
        <v>63</v>
      </c>
      <c r="L675">
        <v>80</v>
      </c>
      <c r="M675">
        <v>78</v>
      </c>
      <c r="N675">
        <v>74</v>
      </c>
    </row>
    <row r="676" spans="1:14">
      <c r="A676" s="11" t="s">
        <v>1194</v>
      </c>
      <c r="B676" s="12" t="s">
        <v>1195</v>
      </c>
      <c r="C676">
        <v>2</v>
      </c>
      <c r="D676">
        <v>2020</v>
      </c>
      <c r="E676">
        <v>1</v>
      </c>
      <c r="F676">
        <v>16</v>
      </c>
      <c r="G676">
        <v>6955</v>
      </c>
      <c r="H676">
        <v>0</v>
      </c>
      <c r="I676">
        <v>1180896317</v>
      </c>
      <c r="J676">
        <v>65</v>
      </c>
      <c r="K676">
        <v>45</v>
      </c>
      <c r="L676">
        <v>166</v>
      </c>
      <c r="M676">
        <v>81</v>
      </c>
      <c r="N676">
        <v>75</v>
      </c>
    </row>
    <row r="677" spans="1:14">
      <c r="A677" s="13" t="s">
        <v>1196</v>
      </c>
      <c r="B677" s="14" t="s">
        <v>1197</v>
      </c>
      <c r="C677">
        <v>1</v>
      </c>
      <c r="D677">
        <v>2017</v>
      </c>
      <c r="E677">
        <v>10</v>
      </c>
      <c r="F677">
        <v>4</v>
      </c>
      <c r="G677">
        <v>2742</v>
      </c>
      <c r="H677">
        <v>0</v>
      </c>
      <c r="I677">
        <v>498960285</v>
      </c>
      <c r="J677">
        <v>5</v>
      </c>
      <c r="K677">
        <v>1</v>
      </c>
      <c r="L677">
        <v>120</v>
      </c>
      <c r="M677">
        <v>67</v>
      </c>
      <c r="N677">
        <v>54</v>
      </c>
    </row>
    <row r="678" spans="1:14">
      <c r="A678" s="11" t="s">
        <v>1198</v>
      </c>
      <c r="B678" s="12" t="s">
        <v>42</v>
      </c>
      <c r="C678">
        <v>1</v>
      </c>
      <c r="D678">
        <v>2020</v>
      </c>
      <c r="E678">
        <v>2</v>
      </c>
      <c r="F678">
        <v>29</v>
      </c>
      <c r="G678">
        <v>4214</v>
      </c>
      <c r="H678">
        <v>11</v>
      </c>
      <c r="I678">
        <v>685071800</v>
      </c>
      <c r="J678">
        <v>21</v>
      </c>
      <c r="K678">
        <v>20</v>
      </c>
      <c r="L678">
        <v>92</v>
      </c>
      <c r="M678">
        <v>86</v>
      </c>
      <c r="N678">
        <v>79</v>
      </c>
    </row>
    <row r="679" spans="1:14">
      <c r="A679" s="13" t="s">
        <v>1199</v>
      </c>
      <c r="B679" s="14" t="s">
        <v>1200</v>
      </c>
      <c r="C679">
        <v>1</v>
      </c>
      <c r="D679">
        <v>2022</v>
      </c>
      <c r="E679">
        <v>1</v>
      </c>
      <c r="F679">
        <v>28</v>
      </c>
      <c r="G679">
        <v>2026</v>
      </c>
      <c r="H679">
        <v>0</v>
      </c>
      <c r="I679">
        <v>258714692</v>
      </c>
      <c r="J679">
        <v>47</v>
      </c>
      <c r="K679">
        <v>3</v>
      </c>
      <c r="L679">
        <v>85</v>
      </c>
      <c r="M679">
        <v>74</v>
      </c>
      <c r="N679">
        <v>52</v>
      </c>
    </row>
    <row r="680" spans="1:14">
      <c r="A680" s="11">
        <v>212</v>
      </c>
      <c r="B680" s="12" t="s">
        <v>1201</v>
      </c>
      <c r="C680">
        <v>2</v>
      </c>
      <c r="D680">
        <v>2022</v>
      </c>
      <c r="E680">
        <v>1</v>
      </c>
      <c r="F680">
        <v>15</v>
      </c>
      <c r="G680">
        <v>352</v>
      </c>
      <c r="H680">
        <v>0</v>
      </c>
      <c r="I680">
        <v>143139338</v>
      </c>
      <c r="J680">
        <v>10</v>
      </c>
      <c r="K680">
        <v>0</v>
      </c>
      <c r="L680">
        <v>154</v>
      </c>
      <c r="M680">
        <v>79</v>
      </c>
      <c r="N680">
        <v>52</v>
      </c>
    </row>
    <row r="681" spans="1:14">
      <c r="A681" s="13" t="s">
        <v>1202</v>
      </c>
      <c r="B681" s="14" t="s">
        <v>1203</v>
      </c>
      <c r="C681">
        <v>2</v>
      </c>
      <c r="D681">
        <v>2021</v>
      </c>
      <c r="E681">
        <v>10</v>
      </c>
      <c r="F681">
        <v>22</v>
      </c>
      <c r="G681">
        <v>1517</v>
      </c>
      <c r="H681">
        <v>0</v>
      </c>
      <c r="I681">
        <v>209768491</v>
      </c>
      <c r="J681">
        <v>42</v>
      </c>
      <c r="K681">
        <v>7</v>
      </c>
      <c r="L681">
        <v>92</v>
      </c>
      <c r="M681">
        <v>73</v>
      </c>
      <c r="N681">
        <v>74</v>
      </c>
    </row>
    <row r="682" spans="1:14">
      <c r="A682" s="11" t="s">
        <v>1204</v>
      </c>
      <c r="B682" s="12" t="s">
        <v>1205</v>
      </c>
      <c r="C682">
        <v>2</v>
      </c>
      <c r="D682">
        <v>2022</v>
      </c>
      <c r="E682">
        <v>2</v>
      </c>
      <c r="F682">
        <v>11</v>
      </c>
      <c r="G682">
        <v>847</v>
      </c>
      <c r="H682">
        <v>0</v>
      </c>
      <c r="I682">
        <v>64714573</v>
      </c>
      <c r="J682">
        <v>25</v>
      </c>
      <c r="K682">
        <v>0</v>
      </c>
      <c r="L682">
        <v>140</v>
      </c>
      <c r="M682">
        <v>89</v>
      </c>
      <c r="N682">
        <v>70</v>
      </c>
    </row>
    <row r="683" spans="1:14">
      <c r="A683" s="13" t="s">
        <v>1206</v>
      </c>
      <c r="B683" s="14" t="s">
        <v>1207</v>
      </c>
      <c r="C683">
        <v>1</v>
      </c>
      <c r="D683">
        <v>2022</v>
      </c>
      <c r="E683">
        <v>2</v>
      </c>
      <c r="F683">
        <v>11</v>
      </c>
      <c r="G683">
        <v>910</v>
      </c>
      <c r="H683">
        <v>0</v>
      </c>
      <c r="I683">
        <v>50746620</v>
      </c>
      <c r="J683">
        <v>20</v>
      </c>
      <c r="K683">
        <v>3</v>
      </c>
      <c r="L683">
        <v>89</v>
      </c>
      <c r="M683">
        <v>65</v>
      </c>
      <c r="N683">
        <v>60</v>
      </c>
    </row>
    <row r="684" spans="1:14">
      <c r="A684" s="11" t="s">
        <v>1208</v>
      </c>
      <c r="B684" s="12" t="s">
        <v>1209</v>
      </c>
      <c r="C684">
        <v>1</v>
      </c>
      <c r="D684">
        <v>2022</v>
      </c>
      <c r="E684">
        <v>1</v>
      </c>
      <c r="F684">
        <v>28</v>
      </c>
      <c r="G684">
        <v>601</v>
      </c>
      <c r="H684">
        <v>0</v>
      </c>
      <c r="I684">
        <v>154119539</v>
      </c>
      <c r="J684">
        <v>28</v>
      </c>
      <c r="K684">
        <v>73</v>
      </c>
      <c r="L684">
        <v>135</v>
      </c>
      <c r="M684">
        <v>89</v>
      </c>
      <c r="N684">
        <v>86</v>
      </c>
    </row>
    <row r="685" spans="1:14">
      <c r="A685" s="13" t="s">
        <v>1210</v>
      </c>
      <c r="B685" s="14" t="s">
        <v>1211</v>
      </c>
      <c r="C685">
        <v>1</v>
      </c>
      <c r="D685">
        <v>2021</v>
      </c>
      <c r="E685">
        <v>11</v>
      </c>
      <c r="F685">
        <v>19</v>
      </c>
      <c r="G685">
        <v>1800</v>
      </c>
      <c r="H685">
        <v>0</v>
      </c>
      <c r="I685">
        <v>181328253</v>
      </c>
      <c r="J685">
        <v>43</v>
      </c>
      <c r="K685">
        <v>36</v>
      </c>
      <c r="L685">
        <v>140</v>
      </c>
      <c r="M685">
        <v>51</v>
      </c>
      <c r="N685">
        <v>53</v>
      </c>
    </row>
    <row r="686" spans="1:14">
      <c r="A686" s="11" t="s">
        <v>1212</v>
      </c>
      <c r="B686" s="12" t="s">
        <v>1213</v>
      </c>
      <c r="C686">
        <v>1</v>
      </c>
      <c r="D686">
        <v>2015</v>
      </c>
      <c r="E686">
        <v>7</v>
      </c>
      <c r="F686">
        <v>24</v>
      </c>
      <c r="G686">
        <v>1930</v>
      </c>
      <c r="H686">
        <v>0</v>
      </c>
      <c r="I686">
        <v>370068639</v>
      </c>
      <c r="J686">
        <v>3</v>
      </c>
      <c r="K686">
        <v>0</v>
      </c>
      <c r="L686">
        <v>82</v>
      </c>
      <c r="M686">
        <v>47</v>
      </c>
      <c r="N686">
        <v>76</v>
      </c>
    </row>
    <row r="687" spans="1:14">
      <c r="A687" s="13" t="s">
        <v>1214</v>
      </c>
      <c r="B687" s="14" t="s">
        <v>289</v>
      </c>
      <c r="C687">
        <v>1</v>
      </c>
      <c r="D687">
        <v>2014</v>
      </c>
      <c r="E687">
        <v>1</v>
      </c>
      <c r="F687">
        <v>1</v>
      </c>
      <c r="G687">
        <v>33032</v>
      </c>
      <c r="H687">
        <v>0</v>
      </c>
      <c r="I687">
        <v>2280566092</v>
      </c>
      <c r="J687">
        <v>363</v>
      </c>
      <c r="K687">
        <v>129</v>
      </c>
      <c r="L687">
        <v>79</v>
      </c>
      <c r="M687">
        <v>78</v>
      </c>
      <c r="N687">
        <v>45</v>
      </c>
    </row>
    <row r="688" spans="1:14">
      <c r="A688" s="11" t="s">
        <v>1215</v>
      </c>
      <c r="B688" s="12" t="s">
        <v>501</v>
      </c>
      <c r="C688">
        <v>1</v>
      </c>
      <c r="D688">
        <v>2019</v>
      </c>
      <c r="E688">
        <v>10</v>
      </c>
      <c r="F688">
        <v>4</v>
      </c>
      <c r="G688">
        <v>6332</v>
      </c>
      <c r="H688">
        <v>0</v>
      </c>
      <c r="I688">
        <v>563902868</v>
      </c>
      <c r="J688">
        <v>47</v>
      </c>
      <c r="K688">
        <v>116</v>
      </c>
      <c r="L688">
        <v>88</v>
      </c>
      <c r="M688">
        <v>31</v>
      </c>
      <c r="N688">
        <v>63</v>
      </c>
    </row>
    <row r="689" spans="1:14">
      <c r="A689" s="13" t="s">
        <v>1216</v>
      </c>
      <c r="B689" s="14" t="s">
        <v>1217</v>
      </c>
      <c r="C689">
        <v>1</v>
      </c>
      <c r="D689">
        <v>2021</v>
      </c>
      <c r="E689">
        <v>12</v>
      </c>
      <c r="F689">
        <v>24</v>
      </c>
      <c r="G689">
        <v>509</v>
      </c>
      <c r="H689">
        <v>9</v>
      </c>
      <c r="I689">
        <v>317622165</v>
      </c>
      <c r="J689">
        <v>8</v>
      </c>
      <c r="K689">
        <v>106</v>
      </c>
      <c r="L689">
        <v>139</v>
      </c>
      <c r="M689">
        <v>44</v>
      </c>
      <c r="N689">
        <v>38</v>
      </c>
    </row>
    <row r="690" spans="1:14">
      <c r="A690" s="11" t="s">
        <v>1218</v>
      </c>
      <c r="B690" s="12" t="s">
        <v>1219</v>
      </c>
      <c r="C690">
        <v>2</v>
      </c>
      <c r="D690">
        <v>2022</v>
      </c>
      <c r="E690">
        <v>1</v>
      </c>
      <c r="F690">
        <v>14</v>
      </c>
      <c r="G690">
        <v>971</v>
      </c>
      <c r="H690">
        <v>2</v>
      </c>
      <c r="I690">
        <v>291709698</v>
      </c>
      <c r="J690">
        <v>35</v>
      </c>
      <c r="K690">
        <v>104</v>
      </c>
      <c r="L690">
        <v>124</v>
      </c>
      <c r="M690">
        <v>73</v>
      </c>
      <c r="N690">
        <v>83</v>
      </c>
    </row>
    <row r="691" spans="1:14">
      <c r="A691" s="13" t="s">
        <v>1220</v>
      </c>
      <c r="B691" s="14" t="s">
        <v>501</v>
      </c>
      <c r="C691">
        <v>1</v>
      </c>
      <c r="D691">
        <v>2019</v>
      </c>
      <c r="E691">
        <v>10</v>
      </c>
      <c r="F691">
        <v>4</v>
      </c>
      <c r="G691">
        <v>2578</v>
      </c>
      <c r="H691">
        <v>0</v>
      </c>
      <c r="I691">
        <v>203680270</v>
      </c>
      <c r="J691">
        <v>8</v>
      </c>
      <c r="K691">
        <v>67</v>
      </c>
      <c r="L691">
        <v>80</v>
      </c>
      <c r="M691">
        <v>39</v>
      </c>
      <c r="N691">
        <v>55</v>
      </c>
    </row>
    <row r="692" spans="1:14">
      <c r="A692" s="11" t="s">
        <v>1221</v>
      </c>
      <c r="B692" s="12" t="s">
        <v>1205</v>
      </c>
      <c r="C692">
        <v>2</v>
      </c>
      <c r="D692">
        <v>2022</v>
      </c>
      <c r="E692">
        <v>2</v>
      </c>
      <c r="F692">
        <v>4</v>
      </c>
      <c r="G692">
        <v>1064</v>
      </c>
      <c r="H692">
        <v>0</v>
      </c>
      <c r="I692">
        <v>81350745</v>
      </c>
      <c r="J692">
        <v>42</v>
      </c>
      <c r="K692">
        <v>1</v>
      </c>
      <c r="L692">
        <v>120</v>
      </c>
      <c r="M692">
        <v>84</v>
      </c>
      <c r="N692">
        <v>51</v>
      </c>
    </row>
    <row r="693" spans="1:14">
      <c r="A693" s="13" t="s">
        <v>1222</v>
      </c>
      <c r="B693" s="14" t="s">
        <v>501</v>
      </c>
      <c r="C693">
        <v>1</v>
      </c>
      <c r="D693">
        <v>2019</v>
      </c>
      <c r="E693">
        <v>10</v>
      </c>
      <c r="F693">
        <v>4</v>
      </c>
      <c r="G693">
        <v>3618</v>
      </c>
      <c r="H693">
        <v>0</v>
      </c>
      <c r="I693">
        <v>282883169</v>
      </c>
      <c r="J693">
        <v>21</v>
      </c>
      <c r="K693">
        <v>86</v>
      </c>
      <c r="L693">
        <v>80</v>
      </c>
      <c r="M693">
        <v>56</v>
      </c>
      <c r="N693">
        <v>46</v>
      </c>
    </row>
    <row r="694" spans="1:14">
      <c r="A694" s="11" t="s">
        <v>1223</v>
      </c>
      <c r="B694" s="12" t="s">
        <v>1185</v>
      </c>
      <c r="C694">
        <v>2</v>
      </c>
      <c r="D694">
        <v>2022</v>
      </c>
      <c r="E694">
        <v>2</v>
      </c>
      <c r="F694">
        <v>4</v>
      </c>
      <c r="G694">
        <v>1040</v>
      </c>
      <c r="H694">
        <v>0</v>
      </c>
      <c r="I694">
        <v>64787943</v>
      </c>
      <c r="J694">
        <v>8</v>
      </c>
      <c r="K694">
        <v>0</v>
      </c>
      <c r="L694">
        <v>117</v>
      </c>
      <c r="M694">
        <v>92</v>
      </c>
      <c r="N694">
        <v>86</v>
      </c>
    </row>
    <row r="695" spans="1:14">
      <c r="A695" s="13" t="s">
        <v>1224</v>
      </c>
      <c r="B695" s="14" t="s">
        <v>1225</v>
      </c>
      <c r="C695">
        <v>2</v>
      </c>
      <c r="D695">
        <v>2019</v>
      </c>
      <c r="E695">
        <v>6</v>
      </c>
      <c r="F695">
        <v>19</v>
      </c>
      <c r="G695">
        <v>15010</v>
      </c>
      <c r="H695">
        <v>2</v>
      </c>
      <c r="I695">
        <v>2484812918</v>
      </c>
      <c r="J695">
        <v>453</v>
      </c>
      <c r="K695">
        <v>50</v>
      </c>
      <c r="L695">
        <v>117</v>
      </c>
      <c r="M695">
        <v>76</v>
      </c>
      <c r="N695">
        <v>52</v>
      </c>
    </row>
    <row r="696" spans="1:14">
      <c r="A696" s="11" t="s">
        <v>1226</v>
      </c>
      <c r="B696" s="12" t="s">
        <v>573</v>
      </c>
      <c r="C696">
        <v>2</v>
      </c>
      <c r="D696">
        <v>2019</v>
      </c>
      <c r="E696">
        <v>5</v>
      </c>
      <c r="F696">
        <v>16</v>
      </c>
      <c r="G696">
        <v>4708</v>
      </c>
      <c r="H696">
        <v>0</v>
      </c>
      <c r="I696">
        <v>461437791</v>
      </c>
      <c r="J696">
        <v>13</v>
      </c>
      <c r="K696">
        <v>7</v>
      </c>
      <c r="L696">
        <v>140</v>
      </c>
      <c r="M696">
        <v>62</v>
      </c>
      <c r="N696">
        <v>73</v>
      </c>
    </row>
    <row r="697" spans="1:14">
      <c r="A697" s="13" t="s">
        <v>1227</v>
      </c>
      <c r="B697" s="14" t="s">
        <v>66</v>
      </c>
      <c r="C697">
        <v>1</v>
      </c>
      <c r="D697">
        <v>2019</v>
      </c>
      <c r="E697">
        <v>12</v>
      </c>
      <c r="F697">
        <v>6</v>
      </c>
      <c r="G697">
        <v>13454</v>
      </c>
      <c r="H697">
        <v>1</v>
      </c>
      <c r="I697">
        <v>1439191367</v>
      </c>
      <c r="J697">
        <v>246</v>
      </c>
      <c r="K697">
        <v>71</v>
      </c>
      <c r="L697">
        <v>99</v>
      </c>
      <c r="M697">
        <v>68</v>
      </c>
      <c r="N697">
        <v>77</v>
      </c>
    </row>
    <row r="698" spans="1:14">
      <c r="A698" s="11" t="s">
        <v>1228</v>
      </c>
      <c r="B698" s="12" t="s">
        <v>1229</v>
      </c>
      <c r="C698">
        <v>2</v>
      </c>
      <c r="D698">
        <v>2020</v>
      </c>
      <c r="E698">
        <v>2</v>
      </c>
      <c r="F698">
        <v>29</v>
      </c>
      <c r="G698">
        <v>4890</v>
      </c>
      <c r="H698">
        <v>20</v>
      </c>
      <c r="I698">
        <v>759208783</v>
      </c>
      <c r="J698">
        <v>52</v>
      </c>
      <c r="K698">
        <v>42</v>
      </c>
      <c r="L698">
        <v>93</v>
      </c>
      <c r="M698">
        <v>74</v>
      </c>
      <c r="N698">
        <v>87</v>
      </c>
    </row>
    <row r="699" spans="1:14">
      <c r="A699" s="13" t="s">
        <v>1230</v>
      </c>
      <c r="B699" s="14" t="s">
        <v>1106</v>
      </c>
      <c r="C699">
        <v>1</v>
      </c>
      <c r="D699">
        <v>1991</v>
      </c>
      <c r="E699">
        <v>9</v>
      </c>
      <c r="F699">
        <v>24</v>
      </c>
      <c r="G699">
        <v>9514</v>
      </c>
      <c r="H699">
        <v>0</v>
      </c>
      <c r="I699">
        <v>368646862</v>
      </c>
      <c r="J699">
        <v>45</v>
      </c>
      <c r="K699">
        <v>27</v>
      </c>
      <c r="L699">
        <v>106</v>
      </c>
      <c r="M699">
        <v>44</v>
      </c>
      <c r="N699">
        <v>20</v>
      </c>
    </row>
    <row r="700" spans="1:14">
      <c r="A700" s="11" t="s">
        <v>1231</v>
      </c>
      <c r="B700" s="12" t="s">
        <v>1232</v>
      </c>
      <c r="C700">
        <v>2</v>
      </c>
      <c r="D700">
        <v>2022</v>
      </c>
      <c r="E700">
        <v>3</v>
      </c>
      <c r="F700">
        <v>11</v>
      </c>
      <c r="G700">
        <v>3501</v>
      </c>
      <c r="H700">
        <v>0</v>
      </c>
      <c r="I700">
        <v>299634472</v>
      </c>
      <c r="J700">
        <v>69</v>
      </c>
      <c r="K700">
        <v>2</v>
      </c>
      <c r="L700">
        <v>124</v>
      </c>
      <c r="M700">
        <v>81</v>
      </c>
      <c r="N700">
        <v>63</v>
      </c>
    </row>
    <row r="701" spans="1:14">
      <c r="A701" s="13" t="s">
        <v>1233</v>
      </c>
      <c r="B701" s="14" t="s">
        <v>1234</v>
      </c>
      <c r="C701">
        <v>2</v>
      </c>
      <c r="D701">
        <v>2022</v>
      </c>
      <c r="E701">
        <v>3</v>
      </c>
      <c r="F701">
        <v>4</v>
      </c>
      <c r="G701">
        <v>6111</v>
      </c>
      <c r="H701">
        <v>4</v>
      </c>
      <c r="I701">
        <v>756907987</v>
      </c>
      <c r="J701">
        <v>185</v>
      </c>
      <c r="K701">
        <v>40</v>
      </c>
      <c r="L701">
        <v>95</v>
      </c>
      <c r="M701">
        <v>76</v>
      </c>
      <c r="N701">
        <v>70</v>
      </c>
    </row>
    <row r="702" spans="1:14">
      <c r="A702" s="11" t="s">
        <v>1235</v>
      </c>
      <c r="B702" s="12" t="s">
        <v>1236</v>
      </c>
      <c r="C702">
        <v>1</v>
      </c>
      <c r="D702">
        <v>2022</v>
      </c>
      <c r="E702">
        <v>1</v>
      </c>
      <c r="F702">
        <v>21</v>
      </c>
      <c r="G702">
        <v>5415</v>
      </c>
      <c r="H702">
        <v>32</v>
      </c>
      <c r="I702">
        <v>682475162</v>
      </c>
      <c r="J702">
        <v>46</v>
      </c>
      <c r="K702">
        <v>16</v>
      </c>
      <c r="L702">
        <v>96</v>
      </c>
      <c r="M702">
        <v>87</v>
      </c>
      <c r="N702">
        <v>53</v>
      </c>
    </row>
    <row r="703" spans="1:14">
      <c r="A703" s="13" t="s">
        <v>1237</v>
      </c>
      <c r="B703" s="14" t="s">
        <v>1238</v>
      </c>
      <c r="C703">
        <v>1</v>
      </c>
      <c r="D703">
        <v>2021</v>
      </c>
      <c r="E703">
        <v>11</v>
      </c>
      <c r="F703">
        <v>11</v>
      </c>
      <c r="G703">
        <v>4673</v>
      </c>
      <c r="H703">
        <v>2</v>
      </c>
      <c r="I703">
        <v>546191065</v>
      </c>
      <c r="J703">
        <v>123</v>
      </c>
      <c r="K703">
        <v>113</v>
      </c>
      <c r="L703">
        <v>92</v>
      </c>
      <c r="M703">
        <v>81</v>
      </c>
      <c r="N703">
        <v>73</v>
      </c>
    </row>
    <row r="704" spans="1:14">
      <c r="A704" s="11" t="s">
        <v>1239</v>
      </c>
      <c r="B704" s="12" t="s">
        <v>1240</v>
      </c>
      <c r="C704">
        <v>1</v>
      </c>
      <c r="D704">
        <v>2022</v>
      </c>
      <c r="E704">
        <v>3</v>
      </c>
      <c r="F704">
        <v>3</v>
      </c>
      <c r="G704">
        <v>1856</v>
      </c>
      <c r="H704">
        <v>3</v>
      </c>
      <c r="I704">
        <v>229473310</v>
      </c>
      <c r="J704">
        <v>29</v>
      </c>
      <c r="K704">
        <v>40</v>
      </c>
      <c r="L704">
        <v>124</v>
      </c>
      <c r="M704">
        <v>95</v>
      </c>
      <c r="N704">
        <v>37</v>
      </c>
    </row>
    <row r="705" spans="1:14">
      <c r="A705" s="13" t="s">
        <v>1241</v>
      </c>
      <c r="B705" s="14" t="s">
        <v>1242</v>
      </c>
      <c r="C705">
        <v>1</v>
      </c>
      <c r="D705">
        <v>2022</v>
      </c>
      <c r="E705">
        <v>3</v>
      </c>
      <c r="F705">
        <v>3</v>
      </c>
      <c r="G705">
        <v>200</v>
      </c>
      <c r="H705">
        <v>2</v>
      </c>
      <c r="I705">
        <v>202677468</v>
      </c>
      <c r="J705">
        <v>12</v>
      </c>
      <c r="K705">
        <v>4</v>
      </c>
      <c r="L705">
        <v>72</v>
      </c>
      <c r="M705">
        <v>64</v>
      </c>
      <c r="N705">
        <v>44</v>
      </c>
    </row>
    <row r="706" spans="1:14">
      <c r="A706" s="11" t="s">
        <v>1243</v>
      </c>
      <c r="B706" s="12" t="s">
        <v>501</v>
      </c>
      <c r="C706">
        <v>1</v>
      </c>
      <c r="D706">
        <v>2022</v>
      </c>
      <c r="E706">
        <v>2</v>
      </c>
      <c r="F706">
        <v>4</v>
      </c>
      <c r="G706">
        <v>1888</v>
      </c>
      <c r="H706">
        <v>0</v>
      </c>
      <c r="I706">
        <v>121913181</v>
      </c>
      <c r="J706">
        <v>26</v>
      </c>
      <c r="K706">
        <v>1</v>
      </c>
      <c r="L706">
        <v>71</v>
      </c>
      <c r="M706">
        <v>28</v>
      </c>
      <c r="N706">
        <v>20</v>
      </c>
    </row>
    <row r="707" spans="1:14">
      <c r="A707" s="13" t="s">
        <v>1244</v>
      </c>
      <c r="B707" s="14" t="s">
        <v>1245</v>
      </c>
      <c r="C707">
        <v>2</v>
      </c>
      <c r="D707">
        <v>2022</v>
      </c>
      <c r="E707">
        <v>2</v>
      </c>
      <c r="F707">
        <v>1</v>
      </c>
      <c r="G707">
        <v>911</v>
      </c>
      <c r="H707">
        <v>2</v>
      </c>
      <c r="I707">
        <v>208166039</v>
      </c>
      <c r="J707">
        <v>45</v>
      </c>
      <c r="K707">
        <v>0</v>
      </c>
      <c r="L707">
        <v>135</v>
      </c>
      <c r="M707">
        <v>78</v>
      </c>
      <c r="N707">
        <v>57</v>
      </c>
    </row>
    <row r="708" spans="1:14">
      <c r="A708" s="11" t="s">
        <v>1246</v>
      </c>
      <c r="B708" s="12" t="s">
        <v>1247</v>
      </c>
      <c r="C708">
        <v>1</v>
      </c>
      <c r="D708">
        <v>2004</v>
      </c>
      <c r="E708">
        <v>5</v>
      </c>
      <c r="F708">
        <v>4</v>
      </c>
      <c r="G708">
        <v>2954</v>
      </c>
      <c r="H708">
        <v>2</v>
      </c>
      <c r="I708">
        <v>527033089</v>
      </c>
      <c r="J708">
        <v>18</v>
      </c>
      <c r="K708">
        <v>82</v>
      </c>
      <c r="L708">
        <v>95</v>
      </c>
      <c r="M708">
        <v>81</v>
      </c>
      <c r="N708">
        <v>70</v>
      </c>
    </row>
    <row r="709" spans="1:14">
      <c r="A709" s="13" t="s">
        <v>1248</v>
      </c>
      <c r="B709" s="14" t="s">
        <v>1249</v>
      </c>
      <c r="C709">
        <v>2</v>
      </c>
      <c r="D709">
        <v>2022</v>
      </c>
      <c r="E709">
        <v>3</v>
      </c>
      <c r="F709">
        <v>3</v>
      </c>
      <c r="G709">
        <v>461</v>
      </c>
      <c r="H709">
        <v>0</v>
      </c>
      <c r="I709">
        <v>94616487</v>
      </c>
      <c r="J709">
        <v>7</v>
      </c>
      <c r="K709">
        <v>11</v>
      </c>
      <c r="L709">
        <v>71</v>
      </c>
      <c r="M709">
        <v>59</v>
      </c>
      <c r="N709">
        <v>74</v>
      </c>
    </row>
    <row r="710" spans="1:14">
      <c r="A710" s="11" t="s">
        <v>1250</v>
      </c>
      <c r="B710" s="12" t="s">
        <v>1189</v>
      </c>
      <c r="C710">
        <v>1</v>
      </c>
      <c r="D710">
        <v>2021</v>
      </c>
      <c r="E710">
        <v>4</v>
      </c>
      <c r="F710">
        <v>30</v>
      </c>
      <c r="G710">
        <v>2844</v>
      </c>
      <c r="H710">
        <v>2</v>
      </c>
      <c r="I710">
        <v>394030335</v>
      </c>
      <c r="J710">
        <v>29</v>
      </c>
      <c r="K710">
        <v>2</v>
      </c>
      <c r="L710">
        <v>180</v>
      </c>
      <c r="M710">
        <v>80</v>
      </c>
      <c r="N710">
        <v>68</v>
      </c>
    </row>
    <row r="711" spans="1:14">
      <c r="A711" s="13" t="s">
        <v>1251</v>
      </c>
      <c r="B711" s="14" t="s">
        <v>1252</v>
      </c>
      <c r="C711">
        <v>1</v>
      </c>
      <c r="D711">
        <v>2022</v>
      </c>
      <c r="E711">
        <v>2</v>
      </c>
      <c r="F711">
        <v>18</v>
      </c>
      <c r="G711">
        <v>2939</v>
      </c>
      <c r="H711">
        <v>0</v>
      </c>
      <c r="I711">
        <v>193443895</v>
      </c>
      <c r="J711">
        <v>42</v>
      </c>
      <c r="K711">
        <v>0</v>
      </c>
      <c r="L711">
        <v>150</v>
      </c>
      <c r="M711">
        <v>65</v>
      </c>
      <c r="N711">
        <v>58</v>
      </c>
    </row>
    <row r="712" spans="1:14">
      <c r="A712" s="11" t="s">
        <v>1253</v>
      </c>
      <c r="B712" s="12" t="s">
        <v>1254</v>
      </c>
      <c r="C712">
        <v>1</v>
      </c>
      <c r="D712">
        <v>2022</v>
      </c>
      <c r="E712">
        <v>2</v>
      </c>
      <c r="F712">
        <v>18</v>
      </c>
      <c r="G712">
        <v>695</v>
      </c>
      <c r="H712">
        <v>11</v>
      </c>
      <c r="I712">
        <v>299648208</v>
      </c>
      <c r="J712">
        <v>16</v>
      </c>
      <c r="K712">
        <v>41</v>
      </c>
      <c r="L712">
        <v>189</v>
      </c>
      <c r="M712">
        <v>55</v>
      </c>
      <c r="N712">
        <v>44</v>
      </c>
    </row>
    <row r="713" spans="1:14">
      <c r="A713" s="13" t="s">
        <v>1255</v>
      </c>
      <c r="B713" s="14" t="s">
        <v>1256</v>
      </c>
      <c r="C713">
        <v>1</v>
      </c>
      <c r="D713">
        <v>2022</v>
      </c>
      <c r="E713">
        <v>2</v>
      </c>
      <c r="F713">
        <v>15</v>
      </c>
      <c r="G713">
        <v>328</v>
      </c>
      <c r="H713">
        <v>0</v>
      </c>
      <c r="I713">
        <v>182978249</v>
      </c>
      <c r="J713">
        <v>10</v>
      </c>
      <c r="K713">
        <v>21</v>
      </c>
      <c r="L713">
        <v>85</v>
      </c>
      <c r="M713">
        <v>72</v>
      </c>
      <c r="N713">
        <v>64</v>
      </c>
    </row>
    <row r="714" spans="1:14">
      <c r="A714" s="11" t="s">
        <v>1257</v>
      </c>
      <c r="B714" s="12" t="s">
        <v>1258</v>
      </c>
      <c r="C714">
        <v>1</v>
      </c>
      <c r="D714">
        <v>2022</v>
      </c>
      <c r="E714">
        <v>2</v>
      </c>
      <c r="F714">
        <v>18</v>
      </c>
      <c r="G714">
        <v>866</v>
      </c>
      <c r="H714">
        <v>16</v>
      </c>
      <c r="I714">
        <v>319757142</v>
      </c>
      <c r="J714">
        <v>27</v>
      </c>
      <c r="K714">
        <v>84</v>
      </c>
      <c r="L714">
        <v>140</v>
      </c>
      <c r="M714">
        <v>59</v>
      </c>
      <c r="N714">
        <v>45</v>
      </c>
    </row>
    <row r="715" spans="1:14">
      <c r="A715" s="13" t="s">
        <v>1259</v>
      </c>
      <c r="B715" s="14" t="s">
        <v>1260</v>
      </c>
      <c r="C715">
        <v>2</v>
      </c>
      <c r="D715">
        <v>2013</v>
      </c>
      <c r="E715">
        <v>7</v>
      </c>
      <c r="F715">
        <v>16</v>
      </c>
      <c r="G715">
        <v>1550</v>
      </c>
      <c r="H715">
        <v>0</v>
      </c>
      <c r="I715">
        <v>109091573</v>
      </c>
      <c r="J715">
        <v>0</v>
      </c>
      <c r="K715">
        <v>0</v>
      </c>
      <c r="L715">
        <v>81</v>
      </c>
      <c r="M715">
        <v>77</v>
      </c>
      <c r="N715">
        <v>70</v>
      </c>
    </row>
    <row r="716" spans="1:14">
      <c r="A716" s="11" t="s">
        <v>1261</v>
      </c>
      <c r="B716" s="12" t="s">
        <v>1262</v>
      </c>
      <c r="C716">
        <v>2</v>
      </c>
      <c r="D716">
        <v>2022</v>
      </c>
      <c r="E716">
        <v>2</v>
      </c>
      <c r="F716">
        <v>25</v>
      </c>
      <c r="G716">
        <v>1729</v>
      </c>
      <c r="H716">
        <v>0</v>
      </c>
      <c r="I716">
        <v>153240879</v>
      </c>
      <c r="J716">
        <v>26</v>
      </c>
      <c r="K716">
        <v>1</v>
      </c>
      <c r="L716">
        <v>104</v>
      </c>
      <c r="M716">
        <v>80</v>
      </c>
      <c r="N716">
        <v>65</v>
      </c>
    </row>
    <row r="717" spans="1:14">
      <c r="A717" s="13" t="s">
        <v>1263</v>
      </c>
      <c r="B717" s="14" t="s">
        <v>173</v>
      </c>
      <c r="C717">
        <v>1</v>
      </c>
      <c r="D717">
        <v>2021</v>
      </c>
      <c r="E717">
        <v>9</v>
      </c>
      <c r="F717">
        <v>3</v>
      </c>
      <c r="G717">
        <v>2005</v>
      </c>
      <c r="H717">
        <v>0</v>
      </c>
      <c r="I717">
        <v>346127840</v>
      </c>
      <c r="J717">
        <v>16</v>
      </c>
      <c r="K717">
        <v>5</v>
      </c>
      <c r="L717">
        <v>129</v>
      </c>
      <c r="M717">
        <v>42</v>
      </c>
      <c r="N717">
        <v>44</v>
      </c>
    </row>
    <row r="718" spans="1:14">
      <c r="A718" s="11" t="s">
        <v>1264</v>
      </c>
      <c r="B718" s="12" t="s">
        <v>42</v>
      </c>
      <c r="C718">
        <v>1</v>
      </c>
      <c r="D718">
        <v>2020</v>
      </c>
      <c r="E718">
        <v>2</v>
      </c>
      <c r="F718">
        <v>29</v>
      </c>
      <c r="G718">
        <v>1188</v>
      </c>
      <c r="H718">
        <v>0</v>
      </c>
      <c r="I718">
        <v>312622938</v>
      </c>
      <c r="J718">
        <v>13</v>
      </c>
      <c r="K718">
        <v>1</v>
      </c>
      <c r="L718">
        <v>94</v>
      </c>
      <c r="M718">
        <v>76</v>
      </c>
      <c r="N718">
        <v>80</v>
      </c>
    </row>
    <row r="719" spans="1:14">
      <c r="A719" s="13" t="s">
        <v>1265</v>
      </c>
      <c r="B719" s="14" t="s">
        <v>1266</v>
      </c>
      <c r="C719">
        <v>1</v>
      </c>
      <c r="D719">
        <v>1975</v>
      </c>
      <c r="E719">
        <v>10</v>
      </c>
      <c r="F719">
        <v>31</v>
      </c>
      <c r="G719">
        <v>40112</v>
      </c>
      <c r="H719">
        <v>3</v>
      </c>
      <c r="I719">
        <v>2197010679</v>
      </c>
      <c r="J719">
        <v>321</v>
      </c>
      <c r="K719">
        <v>162</v>
      </c>
      <c r="L719">
        <v>71</v>
      </c>
      <c r="M719">
        <v>41</v>
      </c>
      <c r="N719">
        <v>40</v>
      </c>
    </row>
    <row r="720" spans="1:14">
      <c r="A720" s="11" t="s">
        <v>1267</v>
      </c>
      <c r="B720" s="12" t="s">
        <v>678</v>
      </c>
      <c r="C720">
        <v>1</v>
      </c>
      <c r="D720">
        <v>2018</v>
      </c>
      <c r="E720">
        <v>3</v>
      </c>
      <c r="F720">
        <v>16</v>
      </c>
      <c r="G720">
        <v>3659</v>
      </c>
      <c r="H720">
        <v>0</v>
      </c>
      <c r="I720">
        <v>1200808494</v>
      </c>
      <c r="J720">
        <v>11</v>
      </c>
      <c r="K720">
        <v>10</v>
      </c>
      <c r="L720">
        <v>146</v>
      </c>
      <c r="M720">
        <v>59</v>
      </c>
      <c r="N720">
        <v>46</v>
      </c>
    </row>
    <row r="721" spans="1:14">
      <c r="A721" s="13" t="s">
        <v>1268</v>
      </c>
      <c r="B721" s="14" t="s">
        <v>95</v>
      </c>
      <c r="C721">
        <v>1</v>
      </c>
      <c r="D721">
        <v>2020</v>
      </c>
      <c r="E721">
        <v>3</v>
      </c>
      <c r="F721">
        <v>27</v>
      </c>
      <c r="G721">
        <v>9833</v>
      </c>
      <c r="H721">
        <v>0</v>
      </c>
      <c r="I721">
        <v>797196073</v>
      </c>
      <c r="J721">
        <v>233</v>
      </c>
      <c r="K721">
        <v>82</v>
      </c>
      <c r="L721">
        <v>103</v>
      </c>
      <c r="M721">
        <v>69</v>
      </c>
      <c r="N721">
        <v>88</v>
      </c>
    </row>
    <row r="722" spans="1:14">
      <c r="A722" s="11" t="s">
        <v>1269</v>
      </c>
      <c r="B722" s="12" t="s">
        <v>1091</v>
      </c>
      <c r="C722">
        <v>1</v>
      </c>
      <c r="D722">
        <v>2013</v>
      </c>
      <c r="E722">
        <v>1</v>
      </c>
      <c r="F722">
        <v>1</v>
      </c>
      <c r="G722">
        <v>50887</v>
      </c>
      <c r="H722">
        <v>34</v>
      </c>
      <c r="I722">
        <v>1970673297</v>
      </c>
      <c r="J722">
        <v>315</v>
      </c>
      <c r="K722">
        <v>160</v>
      </c>
      <c r="L722">
        <v>124</v>
      </c>
      <c r="M722">
        <v>53</v>
      </c>
      <c r="N722">
        <v>78</v>
      </c>
    </row>
    <row r="723" spans="1:14">
      <c r="A723" s="13" t="s">
        <v>1270</v>
      </c>
      <c r="B723" s="14" t="s">
        <v>36</v>
      </c>
      <c r="C723">
        <v>1</v>
      </c>
      <c r="D723">
        <v>2021</v>
      </c>
      <c r="E723">
        <v>5</v>
      </c>
      <c r="F723">
        <v>21</v>
      </c>
      <c r="G723">
        <v>3257</v>
      </c>
      <c r="H723">
        <v>0</v>
      </c>
      <c r="I723">
        <v>665765558</v>
      </c>
      <c r="J723">
        <v>10</v>
      </c>
      <c r="K723">
        <v>0</v>
      </c>
      <c r="L723">
        <v>164</v>
      </c>
      <c r="M723">
        <v>70</v>
      </c>
      <c r="N723">
        <v>58</v>
      </c>
    </row>
    <row r="724" spans="1:14">
      <c r="A724" s="11" t="s">
        <v>1271</v>
      </c>
      <c r="B724" s="12" t="s">
        <v>1272</v>
      </c>
      <c r="C724">
        <v>1</v>
      </c>
      <c r="D724">
        <v>2021</v>
      </c>
      <c r="E724">
        <v>9</v>
      </c>
      <c r="F724">
        <v>10</v>
      </c>
      <c r="G724">
        <v>1473</v>
      </c>
      <c r="H724">
        <v>0</v>
      </c>
      <c r="I724">
        <v>263779030</v>
      </c>
      <c r="J724">
        <v>2</v>
      </c>
      <c r="K724">
        <v>0</v>
      </c>
      <c r="L724">
        <v>138</v>
      </c>
      <c r="M724">
        <v>69</v>
      </c>
      <c r="N724">
        <v>57</v>
      </c>
    </row>
    <row r="725" spans="1:14">
      <c r="A725" s="13" t="s">
        <v>1273</v>
      </c>
      <c r="B725" s="14" t="s">
        <v>1274</v>
      </c>
      <c r="C725">
        <v>1</v>
      </c>
      <c r="D725">
        <v>2020</v>
      </c>
      <c r="E725">
        <v>10</v>
      </c>
      <c r="F725">
        <v>8</v>
      </c>
      <c r="G725">
        <v>2226</v>
      </c>
      <c r="H725">
        <v>0</v>
      </c>
      <c r="I725">
        <v>339473453</v>
      </c>
      <c r="J725">
        <v>36</v>
      </c>
      <c r="K725">
        <v>2</v>
      </c>
      <c r="L725">
        <v>126</v>
      </c>
      <c r="M725">
        <v>67</v>
      </c>
      <c r="N725">
        <v>46</v>
      </c>
    </row>
    <row r="726" spans="1:14">
      <c r="A726" s="11" t="s">
        <v>1275</v>
      </c>
      <c r="B726" s="12" t="s">
        <v>1276</v>
      </c>
      <c r="C726">
        <v>2</v>
      </c>
      <c r="D726">
        <v>2017</v>
      </c>
      <c r="E726">
        <v>2</v>
      </c>
      <c r="F726">
        <v>22</v>
      </c>
      <c r="G726">
        <v>23375</v>
      </c>
      <c r="H726">
        <v>21</v>
      </c>
      <c r="I726">
        <v>2204080728</v>
      </c>
      <c r="J726">
        <v>336</v>
      </c>
      <c r="K726">
        <v>188</v>
      </c>
      <c r="L726">
        <v>103</v>
      </c>
      <c r="M726">
        <v>61</v>
      </c>
      <c r="N726">
        <v>65</v>
      </c>
    </row>
    <row r="727" spans="1:14">
      <c r="A727" s="13" t="s">
        <v>1277</v>
      </c>
      <c r="B727" s="14" t="s">
        <v>1278</v>
      </c>
      <c r="C727">
        <v>2</v>
      </c>
      <c r="D727">
        <v>2016</v>
      </c>
      <c r="E727">
        <v>5</v>
      </c>
      <c r="F727">
        <v>31</v>
      </c>
      <c r="G727">
        <v>28032</v>
      </c>
      <c r="H727">
        <v>0</v>
      </c>
      <c r="I727">
        <v>2591224264</v>
      </c>
      <c r="J727">
        <v>315</v>
      </c>
      <c r="K727">
        <v>159</v>
      </c>
      <c r="L727">
        <v>95</v>
      </c>
      <c r="M727">
        <v>75</v>
      </c>
      <c r="N727">
        <v>52</v>
      </c>
    </row>
    <row r="728" spans="1:14">
      <c r="A728" s="11" t="s">
        <v>1279</v>
      </c>
      <c r="B728" s="12" t="s">
        <v>1280</v>
      </c>
      <c r="C728">
        <v>1</v>
      </c>
      <c r="D728">
        <v>2022</v>
      </c>
      <c r="E728">
        <v>2</v>
      </c>
      <c r="F728">
        <v>22</v>
      </c>
      <c r="G728">
        <v>290</v>
      </c>
      <c r="H728">
        <v>0</v>
      </c>
      <c r="I728">
        <v>135444283</v>
      </c>
      <c r="J728">
        <v>9</v>
      </c>
      <c r="K728">
        <v>66</v>
      </c>
      <c r="L728">
        <v>200</v>
      </c>
      <c r="M728">
        <v>39</v>
      </c>
      <c r="N728">
        <v>77</v>
      </c>
    </row>
    <row r="729" spans="1:14">
      <c r="A729" s="13" t="s">
        <v>1281</v>
      </c>
      <c r="B729" s="14" t="s">
        <v>1282</v>
      </c>
      <c r="C729">
        <v>2</v>
      </c>
      <c r="D729">
        <v>2011</v>
      </c>
      <c r="E729">
        <v>1</v>
      </c>
      <c r="F729">
        <v>1</v>
      </c>
      <c r="G729">
        <v>42798</v>
      </c>
      <c r="H729">
        <v>0</v>
      </c>
      <c r="I729">
        <v>1457139296</v>
      </c>
      <c r="J729">
        <v>217</v>
      </c>
      <c r="K729">
        <v>136</v>
      </c>
      <c r="L729">
        <v>129</v>
      </c>
      <c r="M729">
        <v>86</v>
      </c>
      <c r="N729">
        <v>52</v>
      </c>
    </row>
    <row r="730" spans="1:14">
      <c r="A730" s="11" t="s">
        <v>1283</v>
      </c>
      <c r="B730" s="12" t="s">
        <v>1284</v>
      </c>
      <c r="C730">
        <v>2</v>
      </c>
      <c r="D730">
        <v>2019</v>
      </c>
      <c r="E730">
        <v>6</v>
      </c>
      <c r="F730">
        <v>28</v>
      </c>
      <c r="G730">
        <v>2605</v>
      </c>
      <c r="H730">
        <v>0</v>
      </c>
      <c r="I730">
        <v>236872197</v>
      </c>
      <c r="J730">
        <v>15</v>
      </c>
      <c r="K730">
        <v>48</v>
      </c>
      <c r="L730">
        <v>98</v>
      </c>
      <c r="M730">
        <v>68</v>
      </c>
      <c r="N730">
        <v>43</v>
      </c>
    </row>
    <row r="731" spans="1:14">
      <c r="A731" s="13" t="s">
        <v>1285</v>
      </c>
      <c r="B731" s="14" t="s">
        <v>1252</v>
      </c>
      <c r="C731">
        <v>1</v>
      </c>
      <c r="D731">
        <v>2022</v>
      </c>
      <c r="E731">
        <v>4</v>
      </c>
      <c r="F731">
        <v>8</v>
      </c>
      <c r="G731">
        <v>8737</v>
      </c>
      <c r="H731">
        <v>0</v>
      </c>
      <c r="I731">
        <v>694525298</v>
      </c>
      <c r="J731">
        <v>163</v>
      </c>
      <c r="K731">
        <v>32</v>
      </c>
      <c r="L731">
        <v>107</v>
      </c>
      <c r="M731">
        <v>91</v>
      </c>
      <c r="N731">
        <v>56</v>
      </c>
    </row>
    <row r="732" spans="1:14">
      <c r="A732" s="11" t="s">
        <v>1286</v>
      </c>
      <c r="B732" s="12" t="s">
        <v>1287</v>
      </c>
      <c r="C732">
        <v>1</v>
      </c>
      <c r="D732">
        <v>2022</v>
      </c>
      <c r="E732">
        <v>3</v>
      </c>
      <c r="F732">
        <v>23</v>
      </c>
      <c r="G732">
        <v>1105</v>
      </c>
      <c r="H732">
        <v>0</v>
      </c>
      <c r="I732">
        <v>240661097</v>
      </c>
      <c r="J732">
        <v>32</v>
      </c>
      <c r="K732">
        <v>0</v>
      </c>
      <c r="L732">
        <v>174</v>
      </c>
      <c r="M732">
        <v>58</v>
      </c>
      <c r="N732">
        <v>83</v>
      </c>
    </row>
    <row r="733" spans="1:14">
      <c r="A733" s="13" t="s">
        <v>1288</v>
      </c>
      <c r="B733" s="14" t="s">
        <v>1289</v>
      </c>
      <c r="C733">
        <v>1</v>
      </c>
      <c r="D733">
        <v>2022</v>
      </c>
      <c r="E733">
        <v>2</v>
      </c>
      <c r="F733">
        <v>17</v>
      </c>
      <c r="G733">
        <v>2499</v>
      </c>
      <c r="H733">
        <v>21</v>
      </c>
      <c r="I733">
        <v>421365166</v>
      </c>
      <c r="J733">
        <v>68</v>
      </c>
      <c r="K733">
        <v>24</v>
      </c>
      <c r="L733">
        <v>92</v>
      </c>
      <c r="M733">
        <v>45</v>
      </c>
      <c r="N733">
        <v>67</v>
      </c>
    </row>
    <row r="734" spans="1:14">
      <c r="A734" s="11" t="s">
        <v>1290</v>
      </c>
      <c r="B734" s="12" t="s">
        <v>1229</v>
      </c>
      <c r="C734">
        <v>2</v>
      </c>
      <c r="D734">
        <v>2022</v>
      </c>
      <c r="E734">
        <v>3</v>
      </c>
      <c r="F734">
        <v>25</v>
      </c>
      <c r="G734">
        <v>2697</v>
      </c>
      <c r="H734">
        <v>1</v>
      </c>
      <c r="I734">
        <v>349746291</v>
      </c>
      <c r="J734">
        <v>55</v>
      </c>
      <c r="K734">
        <v>3</v>
      </c>
      <c r="L734">
        <v>90</v>
      </c>
      <c r="M734">
        <v>81</v>
      </c>
      <c r="N734">
        <v>83</v>
      </c>
    </row>
    <row r="735" spans="1:14">
      <c r="A735" s="13" t="s">
        <v>1291</v>
      </c>
      <c r="B735" s="14" t="s">
        <v>972</v>
      </c>
      <c r="C735">
        <v>1</v>
      </c>
      <c r="D735">
        <v>2022</v>
      </c>
      <c r="E735">
        <v>3</v>
      </c>
      <c r="F735">
        <v>31</v>
      </c>
      <c r="G735">
        <v>2092</v>
      </c>
      <c r="H735">
        <v>0</v>
      </c>
      <c r="I735">
        <v>255120451</v>
      </c>
      <c r="J735">
        <v>75</v>
      </c>
      <c r="K735">
        <v>11</v>
      </c>
      <c r="L735">
        <v>147</v>
      </c>
      <c r="M735">
        <v>60</v>
      </c>
      <c r="N735">
        <v>69</v>
      </c>
    </row>
    <row r="736" spans="1:14">
      <c r="A736" s="11" t="s">
        <v>1292</v>
      </c>
      <c r="B736" s="12" t="s">
        <v>1293</v>
      </c>
      <c r="C736">
        <v>1</v>
      </c>
      <c r="D736">
        <v>2022</v>
      </c>
      <c r="E736">
        <v>4</v>
      </c>
      <c r="F736">
        <v>1</v>
      </c>
      <c r="G736">
        <v>1185</v>
      </c>
      <c r="H736">
        <v>0</v>
      </c>
      <c r="I736">
        <v>190981339</v>
      </c>
      <c r="J736">
        <v>21</v>
      </c>
      <c r="K736">
        <v>0</v>
      </c>
      <c r="L736">
        <v>143</v>
      </c>
      <c r="M736">
        <v>68</v>
      </c>
      <c r="N736">
        <v>55</v>
      </c>
    </row>
    <row r="737" spans="1:14">
      <c r="A737" s="13" t="s">
        <v>1294</v>
      </c>
      <c r="B737" s="14" t="s">
        <v>1295</v>
      </c>
      <c r="C737">
        <v>1</v>
      </c>
      <c r="D737">
        <v>2015</v>
      </c>
      <c r="E737">
        <v>1</v>
      </c>
      <c r="F737">
        <v>11</v>
      </c>
      <c r="G737">
        <v>11985</v>
      </c>
      <c r="H737">
        <v>0</v>
      </c>
      <c r="I737">
        <v>924193303</v>
      </c>
      <c r="J737">
        <v>79</v>
      </c>
      <c r="K737">
        <v>80</v>
      </c>
      <c r="L737">
        <v>101</v>
      </c>
      <c r="M737">
        <v>76</v>
      </c>
      <c r="N737">
        <v>71</v>
      </c>
    </row>
    <row r="738" spans="1:14">
      <c r="A738" s="11" t="s">
        <v>1296</v>
      </c>
      <c r="B738" s="12" t="s">
        <v>508</v>
      </c>
      <c r="C738">
        <v>1</v>
      </c>
      <c r="D738">
        <v>2022</v>
      </c>
      <c r="E738">
        <v>4</v>
      </c>
      <c r="F738">
        <v>5</v>
      </c>
      <c r="G738">
        <v>753</v>
      </c>
      <c r="H738">
        <v>8</v>
      </c>
      <c r="I738">
        <v>305771063</v>
      </c>
      <c r="J738">
        <v>28</v>
      </c>
      <c r="K738">
        <v>124</v>
      </c>
      <c r="L738">
        <v>118</v>
      </c>
      <c r="M738">
        <v>70</v>
      </c>
      <c r="N738">
        <v>71</v>
      </c>
    </row>
    <row r="739" spans="1:14">
      <c r="A739" s="13" t="s">
        <v>1297</v>
      </c>
      <c r="B739" s="14" t="s">
        <v>1298</v>
      </c>
      <c r="C739">
        <v>3</v>
      </c>
      <c r="D739">
        <v>2022</v>
      </c>
      <c r="E739">
        <v>3</v>
      </c>
      <c r="F739">
        <v>18</v>
      </c>
      <c r="G739">
        <v>2995</v>
      </c>
      <c r="H739">
        <v>0</v>
      </c>
      <c r="I739">
        <v>273005485</v>
      </c>
      <c r="J739">
        <v>49</v>
      </c>
      <c r="K739">
        <v>17</v>
      </c>
      <c r="L739">
        <v>98</v>
      </c>
      <c r="M739">
        <v>83</v>
      </c>
      <c r="N739">
        <v>74</v>
      </c>
    </row>
    <row r="740" spans="1:14">
      <c r="A740" s="11" t="s">
        <v>1299</v>
      </c>
      <c r="B740" s="12" t="s">
        <v>1287</v>
      </c>
      <c r="C740">
        <v>1</v>
      </c>
      <c r="D740">
        <v>2022</v>
      </c>
      <c r="E740">
        <v>4</v>
      </c>
      <c r="F740">
        <v>6</v>
      </c>
      <c r="G740">
        <v>225</v>
      </c>
      <c r="H740">
        <v>0</v>
      </c>
      <c r="I740">
        <v>89566512</v>
      </c>
      <c r="J740">
        <v>11</v>
      </c>
      <c r="K740">
        <v>0</v>
      </c>
      <c r="L740">
        <v>138</v>
      </c>
      <c r="M740">
        <v>72</v>
      </c>
      <c r="N740">
        <v>46</v>
      </c>
    </row>
    <row r="741" spans="1:14">
      <c r="A741" s="13" t="s">
        <v>1300</v>
      </c>
      <c r="B741" s="14" t="s">
        <v>1301</v>
      </c>
      <c r="C741">
        <v>1</v>
      </c>
      <c r="D741">
        <v>2015</v>
      </c>
      <c r="E741">
        <v>1</v>
      </c>
      <c r="F741">
        <v>1</v>
      </c>
      <c r="G741">
        <v>9243</v>
      </c>
      <c r="H741">
        <v>0</v>
      </c>
      <c r="I741">
        <v>677389855</v>
      </c>
      <c r="J741">
        <v>155</v>
      </c>
      <c r="K741">
        <v>5</v>
      </c>
      <c r="L741">
        <v>114</v>
      </c>
      <c r="M741">
        <v>59</v>
      </c>
      <c r="N741">
        <v>62</v>
      </c>
    </row>
    <row r="742" spans="1:14">
      <c r="A742" s="11" t="s">
        <v>1302</v>
      </c>
      <c r="B742" s="12" t="s">
        <v>1303</v>
      </c>
      <c r="C742">
        <v>2</v>
      </c>
      <c r="D742">
        <v>2022</v>
      </c>
      <c r="E742">
        <v>4</v>
      </c>
      <c r="F742">
        <v>7</v>
      </c>
      <c r="G742">
        <v>918</v>
      </c>
      <c r="H742">
        <v>0</v>
      </c>
      <c r="I742">
        <v>75476209</v>
      </c>
      <c r="J742">
        <v>24</v>
      </c>
      <c r="K742">
        <v>0</v>
      </c>
      <c r="L742">
        <v>180</v>
      </c>
      <c r="M742">
        <v>63</v>
      </c>
      <c r="N742">
        <v>64</v>
      </c>
    </row>
    <row r="743" spans="1:14">
      <c r="A743" s="13" t="s">
        <v>1304</v>
      </c>
      <c r="B743" s="14" t="s">
        <v>97</v>
      </c>
      <c r="C743">
        <v>1</v>
      </c>
      <c r="D743">
        <v>2021</v>
      </c>
      <c r="E743">
        <v>9</v>
      </c>
      <c r="F743">
        <v>9</v>
      </c>
      <c r="G743">
        <v>1959</v>
      </c>
      <c r="H743">
        <v>9</v>
      </c>
      <c r="I743">
        <v>408843328</v>
      </c>
      <c r="J743">
        <v>52</v>
      </c>
      <c r="K743">
        <v>25</v>
      </c>
      <c r="L743">
        <v>145</v>
      </c>
      <c r="M743">
        <v>56</v>
      </c>
      <c r="N743">
        <v>57</v>
      </c>
    </row>
    <row r="744" spans="1:14">
      <c r="A744" s="11" t="s">
        <v>1305</v>
      </c>
      <c r="B744" s="12" t="s">
        <v>1306</v>
      </c>
      <c r="C744">
        <v>3</v>
      </c>
      <c r="D744">
        <v>2022</v>
      </c>
      <c r="E744">
        <v>1</v>
      </c>
      <c r="F744">
        <v>30</v>
      </c>
      <c r="G744">
        <v>540</v>
      </c>
      <c r="H744">
        <v>4</v>
      </c>
      <c r="I744">
        <v>187772591</v>
      </c>
      <c r="J744">
        <v>26</v>
      </c>
      <c r="K744">
        <v>3</v>
      </c>
      <c r="L744">
        <v>115</v>
      </c>
      <c r="M744">
        <v>78</v>
      </c>
      <c r="N744">
        <v>64</v>
      </c>
    </row>
    <row r="745" spans="1:14">
      <c r="A745" s="13" t="s">
        <v>1307</v>
      </c>
      <c r="B745" s="14" t="s">
        <v>1308</v>
      </c>
      <c r="C745">
        <v>3</v>
      </c>
      <c r="D745">
        <v>2022</v>
      </c>
      <c r="E745">
        <v>3</v>
      </c>
      <c r="F745">
        <v>31</v>
      </c>
      <c r="G745">
        <v>859</v>
      </c>
      <c r="H745">
        <v>0</v>
      </c>
      <c r="I745">
        <v>178512385</v>
      </c>
      <c r="J745">
        <v>14</v>
      </c>
      <c r="K745">
        <v>0</v>
      </c>
      <c r="L745">
        <v>82</v>
      </c>
      <c r="M745">
        <v>79</v>
      </c>
      <c r="N745">
        <v>84</v>
      </c>
    </row>
    <row r="746" spans="1:14">
      <c r="A746" s="11" t="s">
        <v>1309</v>
      </c>
      <c r="B746" s="12" t="s">
        <v>1310</v>
      </c>
      <c r="C746">
        <v>1</v>
      </c>
      <c r="D746">
        <v>2022</v>
      </c>
      <c r="E746">
        <v>4</v>
      </c>
      <c r="F746">
        <v>8</v>
      </c>
      <c r="G746">
        <v>1116</v>
      </c>
      <c r="H746">
        <v>0</v>
      </c>
      <c r="I746">
        <v>101780047</v>
      </c>
      <c r="J746">
        <v>31</v>
      </c>
      <c r="K746">
        <v>9</v>
      </c>
      <c r="L746">
        <v>166</v>
      </c>
      <c r="M746">
        <v>70</v>
      </c>
      <c r="N746">
        <v>61</v>
      </c>
    </row>
    <row r="747" spans="1:14">
      <c r="A747" s="13" t="s">
        <v>1311</v>
      </c>
      <c r="B747" s="14" t="s">
        <v>1312</v>
      </c>
      <c r="C747">
        <v>3</v>
      </c>
      <c r="D747">
        <v>2022</v>
      </c>
      <c r="E747">
        <v>3</v>
      </c>
      <c r="F747">
        <v>30</v>
      </c>
      <c r="G747">
        <v>273</v>
      </c>
      <c r="H747">
        <v>2</v>
      </c>
      <c r="I747">
        <v>118381354</v>
      </c>
      <c r="J747">
        <v>12</v>
      </c>
      <c r="K747">
        <v>2</v>
      </c>
      <c r="L747">
        <v>92</v>
      </c>
      <c r="M747">
        <v>86</v>
      </c>
      <c r="N747">
        <v>79</v>
      </c>
    </row>
    <row r="748" spans="1:14">
      <c r="A748" s="11" t="s">
        <v>1313</v>
      </c>
      <c r="B748" s="12" t="s">
        <v>1160</v>
      </c>
      <c r="C748">
        <v>1</v>
      </c>
      <c r="D748">
        <v>2022</v>
      </c>
      <c r="E748">
        <v>4</v>
      </c>
      <c r="F748">
        <v>8</v>
      </c>
      <c r="G748">
        <v>686</v>
      </c>
      <c r="H748">
        <v>2</v>
      </c>
      <c r="I748">
        <v>146363130</v>
      </c>
      <c r="J748">
        <v>11</v>
      </c>
      <c r="K748">
        <v>6</v>
      </c>
      <c r="L748">
        <v>108</v>
      </c>
      <c r="M748">
        <v>71</v>
      </c>
      <c r="N748">
        <v>44</v>
      </c>
    </row>
    <row r="749" spans="1:14">
      <c r="A749" s="13" t="s">
        <v>1314</v>
      </c>
      <c r="B749" s="14" t="s">
        <v>1315</v>
      </c>
      <c r="C749">
        <v>1</v>
      </c>
      <c r="D749">
        <v>2022</v>
      </c>
      <c r="E749">
        <v>3</v>
      </c>
      <c r="F749">
        <v>25</v>
      </c>
      <c r="G749">
        <v>226</v>
      </c>
      <c r="H749">
        <v>0</v>
      </c>
      <c r="I749">
        <v>126443991</v>
      </c>
      <c r="J749">
        <v>5</v>
      </c>
      <c r="K749">
        <v>0</v>
      </c>
      <c r="L749">
        <v>84</v>
      </c>
      <c r="M749">
        <v>71</v>
      </c>
      <c r="N749">
        <v>45</v>
      </c>
    </row>
    <row r="750" spans="1:14">
      <c r="A750" s="11" t="s">
        <v>1316</v>
      </c>
      <c r="B750" s="12" t="s">
        <v>330</v>
      </c>
      <c r="C750">
        <v>1</v>
      </c>
      <c r="D750">
        <v>2022</v>
      </c>
      <c r="E750">
        <v>3</v>
      </c>
      <c r="F750">
        <v>25</v>
      </c>
      <c r="G750">
        <v>1264</v>
      </c>
      <c r="H750">
        <v>0</v>
      </c>
      <c r="I750">
        <v>157990698</v>
      </c>
      <c r="J750">
        <v>20</v>
      </c>
      <c r="K750">
        <v>4</v>
      </c>
      <c r="L750">
        <v>95</v>
      </c>
      <c r="M750">
        <v>69</v>
      </c>
      <c r="N750">
        <v>91</v>
      </c>
    </row>
    <row r="751" spans="1:14">
      <c r="A751" s="13" t="s">
        <v>1317</v>
      </c>
      <c r="B751" s="14" t="s">
        <v>1318</v>
      </c>
      <c r="C751">
        <v>4</v>
      </c>
      <c r="D751">
        <v>2022</v>
      </c>
      <c r="E751">
        <v>3</v>
      </c>
      <c r="F751">
        <v>17</v>
      </c>
      <c r="G751">
        <v>870</v>
      </c>
      <c r="H751">
        <v>0</v>
      </c>
      <c r="I751">
        <v>176290831</v>
      </c>
      <c r="J751">
        <v>32</v>
      </c>
      <c r="K751">
        <v>0</v>
      </c>
      <c r="L751">
        <v>135</v>
      </c>
      <c r="M751">
        <v>93</v>
      </c>
      <c r="N751">
        <v>45</v>
      </c>
    </row>
    <row r="752" spans="1:14">
      <c r="A752" s="11" t="s">
        <v>1319</v>
      </c>
      <c r="B752" s="12" t="s">
        <v>66</v>
      </c>
      <c r="C752">
        <v>1</v>
      </c>
      <c r="D752">
        <v>2019</v>
      </c>
      <c r="E752">
        <v>12</v>
      </c>
      <c r="F752">
        <v>13</v>
      </c>
      <c r="G752">
        <v>7556</v>
      </c>
      <c r="H752">
        <v>0</v>
      </c>
      <c r="I752">
        <v>1023187129</v>
      </c>
      <c r="J752">
        <v>124</v>
      </c>
      <c r="K752">
        <v>24</v>
      </c>
      <c r="L752">
        <v>110</v>
      </c>
      <c r="M752">
        <v>57</v>
      </c>
      <c r="N752">
        <v>27</v>
      </c>
    </row>
    <row r="753" spans="1:14">
      <c r="A753" s="13" t="s">
        <v>1320</v>
      </c>
      <c r="B753" s="14" t="s">
        <v>1321</v>
      </c>
      <c r="C753">
        <v>2</v>
      </c>
      <c r="D753">
        <v>1996</v>
      </c>
      <c r="E753">
        <v>11</v>
      </c>
      <c r="F753">
        <v>24</v>
      </c>
      <c r="G753">
        <v>1370</v>
      </c>
      <c r="H753">
        <v>0</v>
      </c>
      <c r="I753">
        <v>106933107</v>
      </c>
      <c r="J753">
        <v>46</v>
      </c>
      <c r="K753">
        <v>8</v>
      </c>
      <c r="L753">
        <v>88</v>
      </c>
      <c r="M753">
        <v>89</v>
      </c>
      <c r="N753">
        <v>64</v>
      </c>
    </row>
    <row r="754" spans="1:14">
      <c r="A754" s="11" t="s">
        <v>1322</v>
      </c>
      <c r="B754" s="12" t="s">
        <v>1323</v>
      </c>
      <c r="C754">
        <v>1</v>
      </c>
      <c r="D754">
        <v>2022</v>
      </c>
      <c r="E754">
        <v>3</v>
      </c>
      <c r="F754">
        <v>30</v>
      </c>
      <c r="G754">
        <v>315</v>
      </c>
      <c r="H754">
        <v>2</v>
      </c>
      <c r="I754">
        <v>139193812</v>
      </c>
      <c r="J754">
        <v>27</v>
      </c>
      <c r="K754">
        <v>2</v>
      </c>
      <c r="L754">
        <v>119</v>
      </c>
      <c r="M754">
        <v>87</v>
      </c>
      <c r="N754">
        <v>50</v>
      </c>
    </row>
    <row r="755" spans="1:14">
      <c r="A755" s="13" t="s">
        <v>1324</v>
      </c>
      <c r="B755" s="14" t="s">
        <v>403</v>
      </c>
      <c r="C755">
        <v>1</v>
      </c>
      <c r="D755">
        <v>2022</v>
      </c>
      <c r="E755">
        <v>3</v>
      </c>
      <c r="F755">
        <v>18</v>
      </c>
      <c r="G755">
        <v>651</v>
      </c>
      <c r="H755">
        <v>0</v>
      </c>
      <c r="I755">
        <v>212234990</v>
      </c>
      <c r="J755">
        <v>6</v>
      </c>
      <c r="K755">
        <v>188</v>
      </c>
      <c r="L755">
        <v>120</v>
      </c>
      <c r="M755">
        <v>58</v>
      </c>
      <c r="N755">
        <v>80</v>
      </c>
    </row>
    <row r="756" spans="1:14">
      <c r="A756" s="11" t="s">
        <v>1325</v>
      </c>
      <c r="B756" s="12" t="s">
        <v>972</v>
      </c>
      <c r="C756">
        <v>1</v>
      </c>
      <c r="D756">
        <v>2016</v>
      </c>
      <c r="E756">
        <v>9</v>
      </c>
      <c r="F756">
        <v>23</v>
      </c>
      <c r="G756">
        <v>12382</v>
      </c>
      <c r="H756">
        <v>0</v>
      </c>
      <c r="I756">
        <v>1714490998</v>
      </c>
      <c r="J756">
        <v>229</v>
      </c>
      <c r="K756">
        <v>57</v>
      </c>
      <c r="L756">
        <v>122</v>
      </c>
      <c r="M756">
        <v>86</v>
      </c>
      <c r="N756">
        <v>80</v>
      </c>
    </row>
    <row r="757" spans="1:14">
      <c r="A757" s="13" t="s">
        <v>1326</v>
      </c>
      <c r="B757" s="14" t="s">
        <v>1327</v>
      </c>
      <c r="C757">
        <v>2</v>
      </c>
      <c r="D757">
        <v>2022</v>
      </c>
      <c r="E757">
        <v>3</v>
      </c>
      <c r="F757">
        <v>18</v>
      </c>
      <c r="G757">
        <v>625</v>
      </c>
      <c r="H757">
        <v>0</v>
      </c>
      <c r="I757">
        <v>197643795</v>
      </c>
      <c r="J757">
        <v>10</v>
      </c>
      <c r="K757">
        <v>2</v>
      </c>
      <c r="L757">
        <v>98</v>
      </c>
      <c r="M757">
        <v>78</v>
      </c>
      <c r="N757">
        <v>75</v>
      </c>
    </row>
    <row r="758" spans="1:14">
      <c r="A758" s="11" t="s">
        <v>1328</v>
      </c>
      <c r="B758" s="12" t="s">
        <v>66</v>
      </c>
      <c r="C758">
        <v>1</v>
      </c>
      <c r="D758">
        <v>2019</v>
      </c>
      <c r="E758">
        <v>12</v>
      </c>
      <c r="F758">
        <v>13</v>
      </c>
      <c r="G758">
        <v>8429</v>
      </c>
      <c r="H758">
        <v>1</v>
      </c>
      <c r="I758">
        <v>807015863</v>
      </c>
      <c r="J758">
        <v>85</v>
      </c>
      <c r="K758">
        <v>24</v>
      </c>
      <c r="L758">
        <v>140</v>
      </c>
      <c r="M758">
        <v>45</v>
      </c>
      <c r="N758">
        <v>84</v>
      </c>
    </row>
    <row r="759" spans="1:14">
      <c r="A759" s="13" t="s">
        <v>1329</v>
      </c>
      <c r="B759" s="14" t="s">
        <v>1330</v>
      </c>
      <c r="C759">
        <v>3</v>
      </c>
      <c r="D759">
        <v>2013</v>
      </c>
      <c r="E759">
        <v>1</v>
      </c>
      <c r="F759">
        <v>1</v>
      </c>
      <c r="G759">
        <v>52898</v>
      </c>
      <c r="H759">
        <v>0</v>
      </c>
      <c r="I759">
        <v>933815613</v>
      </c>
      <c r="J759">
        <v>203</v>
      </c>
      <c r="K759">
        <v>1</v>
      </c>
      <c r="L759">
        <v>116</v>
      </c>
      <c r="M759">
        <v>79</v>
      </c>
      <c r="N759">
        <v>81</v>
      </c>
    </row>
    <row r="760" spans="1:14">
      <c r="A760" s="11" t="s">
        <v>1331</v>
      </c>
      <c r="B760" s="12" t="s">
        <v>795</v>
      </c>
      <c r="C760">
        <v>1</v>
      </c>
      <c r="D760">
        <v>2021</v>
      </c>
      <c r="E760">
        <v>6</v>
      </c>
      <c r="F760">
        <v>25</v>
      </c>
      <c r="G760">
        <v>3436</v>
      </c>
      <c r="H760">
        <v>0</v>
      </c>
      <c r="I760">
        <v>499710590</v>
      </c>
      <c r="J760">
        <v>32</v>
      </c>
      <c r="K760">
        <v>6</v>
      </c>
      <c r="L760">
        <v>124</v>
      </c>
      <c r="M760">
        <v>86</v>
      </c>
      <c r="N760">
        <v>49</v>
      </c>
    </row>
    <row r="761" spans="1:14">
      <c r="A761" s="13" t="s">
        <v>1332</v>
      </c>
      <c r="B761" s="14" t="s">
        <v>1333</v>
      </c>
      <c r="C761">
        <v>6</v>
      </c>
      <c r="D761">
        <v>2022</v>
      </c>
      <c r="E761">
        <v>2</v>
      </c>
      <c r="F761">
        <v>25</v>
      </c>
      <c r="G761">
        <v>918</v>
      </c>
      <c r="H761">
        <v>0</v>
      </c>
      <c r="I761">
        <v>120847157</v>
      </c>
      <c r="J761">
        <v>34</v>
      </c>
      <c r="K761">
        <v>39</v>
      </c>
      <c r="L761">
        <v>105</v>
      </c>
      <c r="M761">
        <v>91</v>
      </c>
      <c r="N761">
        <v>72</v>
      </c>
    </row>
    <row r="762" spans="1:14">
      <c r="A762" s="11" t="s">
        <v>1334</v>
      </c>
      <c r="B762" s="12" t="s">
        <v>1335</v>
      </c>
      <c r="C762">
        <v>1</v>
      </c>
      <c r="D762">
        <v>2022</v>
      </c>
      <c r="E762">
        <v>4</v>
      </c>
      <c r="F762">
        <v>5</v>
      </c>
      <c r="G762">
        <v>181</v>
      </c>
      <c r="H762">
        <v>0</v>
      </c>
      <c r="I762">
        <v>53909146</v>
      </c>
      <c r="J762">
        <v>16</v>
      </c>
      <c r="K762">
        <v>14</v>
      </c>
      <c r="L762">
        <v>118</v>
      </c>
      <c r="M762">
        <v>68</v>
      </c>
      <c r="N762">
        <v>58</v>
      </c>
    </row>
    <row r="763" spans="1:14">
      <c r="A763" s="13" t="s">
        <v>1336</v>
      </c>
      <c r="B763" s="14" t="s">
        <v>289</v>
      </c>
      <c r="C763">
        <v>1</v>
      </c>
      <c r="D763">
        <v>2014</v>
      </c>
      <c r="E763">
        <v>6</v>
      </c>
      <c r="F763">
        <v>20</v>
      </c>
      <c r="G763">
        <v>18778</v>
      </c>
      <c r="H763">
        <v>3</v>
      </c>
      <c r="I763">
        <v>2236667932</v>
      </c>
      <c r="J763">
        <v>228</v>
      </c>
      <c r="K763">
        <v>105</v>
      </c>
      <c r="L763">
        <v>108</v>
      </c>
      <c r="M763">
        <v>61</v>
      </c>
      <c r="N763">
        <v>38</v>
      </c>
    </row>
    <row r="764" spans="1:14">
      <c r="A764" s="11" t="s">
        <v>1337</v>
      </c>
      <c r="B764" s="12" t="s">
        <v>324</v>
      </c>
      <c r="C764">
        <v>1</v>
      </c>
      <c r="D764">
        <v>2015</v>
      </c>
      <c r="E764">
        <v>11</v>
      </c>
      <c r="F764">
        <v>9</v>
      </c>
      <c r="G764">
        <v>22730</v>
      </c>
      <c r="H764">
        <v>5</v>
      </c>
      <c r="I764">
        <v>2123309722</v>
      </c>
      <c r="J764">
        <v>289</v>
      </c>
      <c r="K764">
        <v>87</v>
      </c>
      <c r="L764">
        <v>100</v>
      </c>
      <c r="M764">
        <v>61</v>
      </c>
      <c r="N764">
        <v>38</v>
      </c>
    </row>
    <row r="765" spans="1:14">
      <c r="A765" s="13" t="s">
        <v>1338</v>
      </c>
      <c r="B765" s="14" t="s">
        <v>1191</v>
      </c>
      <c r="C765">
        <v>1</v>
      </c>
      <c r="D765">
        <v>2022</v>
      </c>
      <c r="E765">
        <v>5</v>
      </c>
      <c r="F765">
        <v>13</v>
      </c>
      <c r="G765">
        <v>5542</v>
      </c>
      <c r="H765">
        <v>0</v>
      </c>
      <c r="I765">
        <v>301242089</v>
      </c>
      <c r="J765">
        <v>52</v>
      </c>
      <c r="K765">
        <v>16</v>
      </c>
      <c r="L765">
        <v>140</v>
      </c>
      <c r="M765">
        <v>81</v>
      </c>
      <c r="N765">
        <v>66</v>
      </c>
    </row>
    <row r="766" spans="1:14">
      <c r="A766" s="11" t="s">
        <v>688</v>
      </c>
      <c r="B766" s="12" t="s">
        <v>689</v>
      </c>
      <c r="C766">
        <v>1</v>
      </c>
      <c r="D766">
        <v>2022</v>
      </c>
      <c r="E766">
        <v>4</v>
      </c>
      <c r="F766">
        <v>14</v>
      </c>
      <c r="G766">
        <v>9021</v>
      </c>
      <c r="H766">
        <v>0</v>
      </c>
      <c r="I766">
        <v>723894473</v>
      </c>
      <c r="J766">
        <v>242</v>
      </c>
      <c r="K766">
        <v>49</v>
      </c>
      <c r="L766">
        <v>109</v>
      </c>
      <c r="M766">
        <v>84</v>
      </c>
      <c r="N766">
        <v>74</v>
      </c>
    </row>
    <row r="767" spans="1:14">
      <c r="A767" s="13" t="s">
        <v>1339</v>
      </c>
      <c r="B767" s="14" t="s">
        <v>1340</v>
      </c>
      <c r="C767">
        <v>3</v>
      </c>
      <c r="D767">
        <v>2022</v>
      </c>
      <c r="E767">
        <v>5</v>
      </c>
      <c r="F767">
        <v>13</v>
      </c>
      <c r="G767">
        <v>4627</v>
      </c>
      <c r="H767">
        <v>0</v>
      </c>
      <c r="I767">
        <v>237351106</v>
      </c>
      <c r="J767">
        <v>38</v>
      </c>
      <c r="K767">
        <v>13</v>
      </c>
      <c r="L767">
        <v>101</v>
      </c>
      <c r="M767">
        <v>78</v>
      </c>
      <c r="N767">
        <v>74</v>
      </c>
    </row>
    <row r="768" spans="1:14">
      <c r="A768" s="11" t="s">
        <v>1341</v>
      </c>
      <c r="B768" s="12" t="s">
        <v>42</v>
      </c>
      <c r="C768">
        <v>1</v>
      </c>
      <c r="D768">
        <v>2022</v>
      </c>
      <c r="E768">
        <v>5</v>
      </c>
      <c r="F768">
        <v>6</v>
      </c>
      <c r="G768">
        <v>2229</v>
      </c>
      <c r="H768">
        <v>0</v>
      </c>
      <c r="I768">
        <v>461558540</v>
      </c>
      <c r="J768">
        <v>27</v>
      </c>
      <c r="K768">
        <v>44</v>
      </c>
      <c r="L768">
        <v>78</v>
      </c>
      <c r="M768">
        <v>56</v>
      </c>
      <c r="N768">
        <v>90</v>
      </c>
    </row>
    <row r="769" spans="1:14">
      <c r="A769" s="13" t="s">
        <v>1342</v>
      </c>
      <c r="B769" s="14" t="s">
        <v>42</v>
      </c>
      <c r="C769">
        <v>1</v>
      </c>
      <c r="D769">
        <v>2022</v>
      </c>
      <c r="E769">
        <v>5</v>
      </c>
      <c r="F769">
        <v>6</v>
      </c>
      <c r="G769">
        <v>1112</v>
      </c>
      <c r="H769">
        <v>6</v>
      </c>
      <c r="I769">
        <v>417230415</v>
      </c>
      <c r="J769">
        <v>7</v>
      </c>
      <c r="K769">
        <v>30</v>
      </c>
      <c r="L769">
        <v>93</v>
      </c>
      <c r="M769">
        <v>79</v>
      </c>
      <c r="N769">
        <v>55</v>
      </c>
    </row>
    <row r="770" spans="1:14">
      <c r="A770" s="11" t="s">
        <v>1343</v>
      </c>
      <c r="B770" s="12" t="s">
        <v>1191</v>
      </c>
      <c r="C770">
        <v>1</v>
      </c>
      <c r="D770">
        <v>2022</v>
      </c>
      <c r="E770">
        <v>5</v>
      </c>
      <c r="F770">
        <v>13</v>
      </c>
      <c r="G770">
        <v>2575</v>
      </c>
      <c r="H770">
        <v>0</v>
      </c>
      <c r="I770">
        <v>156898322</v>
      </c>
      <c r="J770">
        <v>4</v>
      </c>
      <c r="K770">
        <v>5</v>
      </c>
      <c r="L770">
        <v>87</v>
      </c>
      <c r="M770">
        <v>52</v>
      </c>
      <c r="N770">
        <v>83</v>
      </c>
    </row>
    <row r="771" spans="1:14">
      <c r="A771" s="13" t="s">
        <v>1344</v>
      </c>
      <c r="B771" s="14" t="s">
        <v>1345</v>
      </c>
      <c r="C771">
        <v>2</v>
      </c>
      <c r="D771">
        <v>2022</v>
      </c>
      <c r="E771">
        <v>5</v>
      </c>
      <c r="F771">
        <v>13</v>
      </c>
      <c r="G771">
        <v>3107</v>
      </c>
      <c r="H771">
        <v>0</v>
      </c>
      <c r="I771">
        <v>127309180</v>
      </c>
      <c r="J771">
        <v>4</v>
      </c>
      <c r="K771">
        <v>0</v>
      </c>
      <c r="L771">
        <v>153</v>
      </c>
      <c r="M771">
        <v>55</v>
      </c>
      <c r="N771">
        <v>78</v>
      </c>
    </row>
    <row r="772" spans="1:14">
      <c r="A772" s="11" t="s">
        <v>1346</v>
      </c>
      <c r="B772" s="12" t="s">
        <v>42</v>
      </c>
      <c r="C772">
        <v>1</v>
      </c>
      <c r="D772">
        <v>2022</v>
      </c>
      <c r="E772">
        <v>5</v>
      </c>
      <c r="F772">
        <v>6</v>
      </c>
      <c r="G772">
        <v>1179</v>
      </c>
      <c r="H772">
        <v>0</v>
      </c>
      <c r="I772">
        <v>313113297</v>
      </c>
      <c r="J772">
        <v>7</v>
      </c>
      <c r="K772">
        <v>21</v>
      </c>
      <c r="L772">
        <v>142</v>
      </c>
      <c r="M772">
        <v>87</v>
      </c>
      <c r="N772">
        <v>59</v>
      </c>
    </row>
    <row r="773" spans="1:14">
      <c r="A773" s="13" t="s">
        <v>1347</v>
      </c>
      <c r="B773" s="14" t="s">
        <v>1191</v>
      </c>
      <c r="C773">
        <v>1</v>
      </c>
      <c r="D773">
        <v>2022</v>
      </c>
      <c r="E773">
        <v>5</v>
      </c>
      <c r="F773">
        <v>13</v>
      </c>
      <c r="G773">
        <v>3486</v>
      </c>
      <c r="H773">
        <v>0</v>
      </c>
      <c r="I773">
        <v>173702135</v>
      </c>
      <c r="J773">
        <v>20</v>
      </c>
      <c r="K773">
        <v>10</v>
      </c>
      <c r="L773">
        <v>96</v>
      </c>
      <c r="M773">
        <v>85</v>
      </c>
      <c r="N773">
        <v>43</v>
      </c>
    </row>
    <row r="774" spans="1:14">
      <c r="A774" s="11" t="s">
        <v>1348</v>
      </c>
      <c r="B774" s="12" t="s">
        <v>1349</v>
      </c>
      <c r="C774">
        <v>2</v>
      </c>
      <c r="D774">
        <v>2022</v>
      </c>
      <c r="E774">
        <v>5</v>
      </c>
      <c r="F774">
        <v>12</v>
      </c>
      <c r="G774">
        <v>2942</v>
      </c>
      <c r="H774">
        <v>0</v>
      </c>
      <c r="I774">
        <v>271666301</v>
      </c>
      <c r="J774">
        <v>42</v>
      </c>
      <c r="K774">
        <v>28</v>
      </c>
      <c r="L774">
        <v>125</v>
      </c>
      <c r="M774">
        <v>50</v>
      </c>
      <c r="N774">
        <v>78</v>
      </c>
    </row>
    <row r="775" spans="1:14">
      <c r="A775" s="13" t="s">
        <v>1350</v>
      </c>
      <c r="B775" s="14" t="s">
        <v>42</v>
      </c>
      <c r="C775">
        <v>1</v>
      </c>
      <c r="D775">
        <v>2022</v>
      </c>
      <c r="E775">
        <v>5</v>
      </c>
      <c r="F775">
        <v>6</v>
      </c>
      <c r="G775">
        <v>1443</v>
      </c>
      <c r="H775">
        <v>0</v>
      </c>
      <c r="I775">
        <v>305650299</v>
      </c>
      <c r="J775">
        <v>9</v>
      </c>
      <c r="K775">
        <v>11</v>
      </c>
      <c r="L775">
        <v>85</v>
      </c>
      <c r="M775">
        <v>71</v>
      </c>
      <c r="N775">
        <v>65</v>
      </c>
    </row>
    <row r="776" spans="1:14">
      <c r="A776" s="11" t="s">
        <v>1351</v>
      </c>
      <c r="B776" s="12" t="s">
        <v>1352</v>
      </c>
      <c r="C776">
        <v>2</v>
      </c>
      <c r="D776">
        <v>2022</v>
      </c>
      <c r="E776">
        <v>5</v>
      </c>
      <c r="F776">
        <v>13</v>
      </c>
      <c r="G776">
        <v>3028</v>
      </c>
      <c r="H776">
        <v>0</v>
      </c>
      <c r="I776">
        <v>123216717</v>
      </c>
      <c r="J776">
        <v>22</v>
      </c>
      <c r="K776">
        <v>0</v>
      </c>
      <c r="L776">
        <v>140</v>
      </c>
      <c r="M776">
        <v>92</v>
      </c>
      <c r="N776">
        <v>57</v>
      </c>
    </row>
    <row r="777" spans="1:14">
      <c r="A777" s="13" t="s">
        <v>1353</v>
      </c>
      <c r="B777" s="14" t="s">
        <v>1354</v>
      </c>
      <c r="C777">
        <v>2</v>
      </c>
      <c r="D777">
        <v>2022</v>
      </c>
      <c r="E777">
        <v>5</v>
      </c>
      <c r="F777">
        <v>6</v>
      </c>
      <c r="G777">
        <v>1796</v>
      </c>
      <c r="H777">
        <v>8</v>
      </c>
      <c r="I777">
        <v>479655659</v>
      </c>
      <c r="J777">
        <v>8</v>
      </c>
      <c r="K777">
        <v>25</v>
      </c>
      <c r="L777">
        <v>196</v>
      </c>
      <c r="M777">
        <v>66</v>
      </c>
      <c r="N777">
        <v>79</v>
      </c>
    </row>
    <row r="778" spans="1:14">
      <c r="A778" s="11" t="s">
        <v>1355</v>
      </c>
      <c r="B778" s="12" t="s">
        <v>1191</v>
      </c>
      <c r="C778">
        <v>1</v>
      </c>
      <c r="D778">
        <v>2022</v>
      </c>
      <c r="E778">
        <v>5</v>
      </c>
      <c r="F778">
        <v>13</v>
      </c>
      <c r="G778">
        <v>2729</v>
      </c>
      <c r="H778">
        <v>0</v>
      </c>
      <c r="I778">
        <v>126191104</v>
      </c>
      <c r="J778">
        <v>3</v>
      </c>
      <c r="K778">
        <v>7</v>
      </c>
      <c r="L778">
        <v>134</v>
      </c>
      <c r="M778">
        <v>78</v>
      </c>
      <c r="N778">
        <v>43</v>
      </c>
    </row>
    <row r="779" spans="1:14">
      <c r="A779" s="13" t="s">
        <v>1356</v>
      </c>
      <c r="B779" s="14" t="s">
        <v>1357</v>
      </c>
      <c r="C779">
        <v>2</v>
      </c>
      <c r="D779">
        <v>2022</v>
      </c>
      <c r="E779">
        <v>5</v>
      </c>
      <c r="F779">
        <v>6</v>
      </c>
      <c r="G779">
        <v>1195</v>
      </c>
      <c r="H779">
        <v>0</v>
      </c>
      <c r="I779">
        <v>344055883</v>
      </c>
      <c r="J779">
        <v>8</v>
      </c>
      <c r="K779">
        <v>30</v>
      </c>
      <c r="L779">
        <v>103</v>
      </c>
      <c r="M779">
        <v>80</v>
      </c>
      <c r="N779">
        <v>62</v>
      </c>
    </row>
    <row r="780" spans="1:14">
      <c r="A780" s="11" t="s">
        <v>1358</v>
      </c>
      <c r="B780" s="12" t="s">
        <v>42</v>
      </c>
      <c r="C780">
        <v>1</v>
      </c>
      <c r="D780">
        <v>2022</v>
      </c>
      <c r="E780">
        <v>5</v>
      </c>
      <c r="F780">
        <v>6</v>
      </c>
      <c r="G780">
        <v>892</v>
      </c>
      <c r="H780">
        <v>3</v>
      </c>
      <c r="I780">
        <v>338422004</v>
      </c>
      <c r="J780">
        <v>10</v>
      </c>
      <c r="K780">
        <v>24</v>
      </c>
      <c r="L780">
        <v>130</v>
      </c>
      <c r="M780">
        <v>82</v>
      </c>
      <c r="N780">
        <v>67</v>
      </c>
    </row>
    <row r="781" spans="1:14">
      <c r="A781" s="13" t="s">
        <v>1359</v>
      </c>
      <c r="B781" s="14" t="s">
        <v>1360</v>
      </c>
      <c r="C781">
        <v>2</v>
      </c>
      <c r="D781">
        <v>2022</v>
      </c>
      <c r="E781">
        <v>5</v>
      </c>
      <c r="F781">
        <v>13</v>
      </c>
      <c r="G781">
        <v>1635</v>
      </c>
      <c r="H781">
        <v>0</v>
      </c>
      <c r="I781">
        <v>68895644</v>
      </c>
      <c r="J781">
        <v>4</v>
      </c>
      <c r="K781">
        <v>1</v>
      </c>
      <c r="L781">
        <v>108</v>
      </c>
      <c r="M781">
        <v>65</v>
      </c>
      <c r="N781">
        <v>69</v>
      </c>
    </row>
    <row r="782" spans="1:14">
      <c r="A782" s="11" t="s">
        <v>1361</v>
      </c>
      <c r="B782" s="12" t="s">
        <v>1362</v>
      </c>
      <c r="C782">
        <v>3</v>
      </c>
      <c r="D782">
        <v>2022</v>
      </c>
      <c r="E782">
        <v>5</v>
      </c>
      <c r="F782">
        <v>13</v>
      </c>
      <c r="G782">
        <v>2291</v>
      </c>
      <c r="H782">
        <v>0</v>
      </c>
      <c r="I782">
        <v>86176890</v>
      </c>
      <c r="J782">
        <v>9</v>
      </c>
      <c r="K782">
        <v>0</v>
      </c>
      <c r="L782">
        <v>123</v>
      </c>
      <c r="M782">
        <v>61</v>
      </c>
      <c r="N782">
        <v>71</v>
      </c>
    </row>
    <row r="783" spans="1:14">
      <c r="A783" s="13" t="s">
        <v>1363</v>
      </c>
      <c r="B783" s="14" t="s">
        <v>42</v>
      </c>
      <c r="C783">
        <v>1</v>
      </c>
      <c r="D783">
        <v>2022</v>
      </c>
      <c r="E783">
        <v>5</v>
      </c>
      <c r="F783">
        <v>6</v>
      </c>
      <c r="G783">
        <v>1029</v>
      </c>
      <c r="H783">
        <v>28</v>
      </c>
      <c r="I783">
        <v>403231558</v>
      </c>
      <c r="J783">
        <v>5</v>
      </c>
      <c r="K783">
        <v>28</v>
      </c>
      <c r="L783">
        <v>152</v>
      </c>
      <c r="M783">
        <v>84</v>
      </c>
      <c r="N783">
        <v>69</v>
      </c>
    </row>
    <row r="784" spans="1:14">
      <c r="A784" s="11" t="s">
        <v>1364</v>
      </c>
      <c r="B784" s="12" t="s">
        <v>1365</v>
      </c>
      <c r="C784">
        <v>2</v>
      </c>
      <c r="D784">
        <v>2022</v>
      </c>
      <c r="E784">
        <v>5</v>
      </c>
      <c r="F784">
        <v>6</v>
      </c>
      <c r="G784">
        <v>1681</v>
      </c>
      <c r="H784">
        <v>7</v>
      </c>
      <c r="I784">
        <v>319546754</v>
      </c>
      <c r="J784">
        <v>10</v>
      </c>
      <c r="K784">
        <v>30</v>
      </c>
      <c r="L784">
        <v>108</v>
      </c>
      <c r="M784">
        <v>78</v>
      </c>
      <c r="N784">
        <v>60</v>
      </c>
    </row>
    <row r="785" spans="1:14">
      <c r="A785" s="13" t="s">
        <v>1366</v>
      </c>
      <c r="B785" s="14" t="s">
        <v>1191</v>
      </c>
      <c r="C785">
        <v>1</v>
      </c>
      <c r="D785">
        <v>2022</v>
      </c>
      <c r="E785">
        <v>5</v>
      </c>
      <c r="F785">
        <v>13</v>
      </c>
      <c r="G785">
        <v>1480</v>
      </c>
      <c r="H785">
        <v>0</v>
      </c>
      <c r="I785">
        <v>61739839</v>
      </c>
      <c r="J785">
        <v>1</v>
      </c>
      <c r="K785">
        <v>0</v>
      </c>
      <c r="L785">
        <v>72</v>
      </c>
      <c r="M785">
        <v>56</v>
      </c>
      <c r="N785">
        <v>47</v>
      </c>
    </row>
    <row r="786" spans="1:14">
      <c r="A786" s="11" t="s">
        <v>1367</v>
      </c>
      <c r="B786" s="12" t="s">
        <v>42</v>
      </c>
      <c r="C786">
        <v>1</v>
      </c>
      <c r="D786">
        <v>2022</v>
      </c>
      <c r="E786">
        <v>5</v>
      </c>
      <c r="F786">
        <v>6</v>
      </c>
      <c r="G786">
        <v>829</v>
      </c>
      <c r="H786">
        <v>0</v>
      </c>
      <c r="I786">
        <v>283359161</v>
      </c>
      <c r="J786">
        <v>4</v>
      </c>
      <c r="K786">
        <v>15</v>
      </c>
      <c r="L786">
        <v>121</v>
      </c>
      <c r="M786">
        <v>86</v>
      </c>
      <c r="N786">
        <v>65</v>
      </c>
    </row>
    <row r="787" spans="1:14">
      <c r="A787" s="13" t="s">
        <v>1368</v>
      </c>
      <c r="B787" s="14" t="s">
        <v>1369</v>
      </c>
      <c r="C787">
        <v>3</v>
      </c>
      <c r="D787">
        <v>2022</v>
      </c>
      <c r="E787">
        <v>5</v>
      </c>
      <c r="F787">
        <v>13</v>
      </c>
      <c r="G787">
        <v>2308</v>
      </c>
      <c r="H787">
        <v>0</v>
      </c>
      <c r="I787">
        <v>76831876</v>
      </c>
      <c r="J787">
        <v>7</v>
      </c>
      <c r="K787">
        <v>0</v>
      </c>
      <c r="L787">
        <v>138</v>
      </c>
      <c r="M787">
        <v>57</v>
      </c>
      <c r="N787">
        <v>82</v>
      </c>
    </row>
    <row r="788" spans="1:14">
      <c r="A788" s="11" t="s">
        <v>1370</v>
      </c>
      <c r="B788" s="12" t="s">
        <v>42</v>
      </c>
      <c r="C788">
        <v>1</v>
      </c>
      <c r="D788">
        <v>2022</v>
      </c>
      <c r="E788">
        <v>5</v>
      </c>
      <c r="F788">
        <v>6</v>
      </c>
      <c r="G788">
        <v>1004</v>
      </c>
      <c r="H788">
        <v>1</v>
      </c>
      <c r="I788">
        <v>283332261</v>
      </c>
      <c r="J788">
        <v>8</v>
      </c>
      <c r="K788">
        <v>12</v>
      </c>
      <c r="L788">
        <v>188</v>
      </c>
      <c r="M788">
        <v>50</v>
      </c>
      <c r="N788">
        <v>50</v>
      </c>
    </row>
    <row r="789" spans="1:14">
      <c r="A789" s="13" t="s">
        <v>1371</v>
      </c>
      <c r="B789" s="14" t="s">
        <v>1372</v>
      </c>
      <c r="C789">
        <v>2</v>
      </c>
      <c r="D789">
        <v>2022</v>
      </c>
      <c r="E789">
        <v>2</v>
      </c>
      <c r="F789">
        <v>14</v>
      </c>
      <c r="G789">
        <v>1367</v>
      </c>
      <c r="H789">
        <v>0</v>
      </c>
      <c r="I789">
        <v>307752576</v>
      </c>
      <c r="J789">
        <v>48</v>
      </c>
      <c r="K789">
        <v>4</v>
      </c>
      <c r="L789">
        <v>110</v>
      </c>
      <c r="M789">
        <v>80</v>
      </c>
      <c r="N789">
        <v>85</v>
      </c>
    </row>
    <row r="790" spans="1:14">
      <c r="A790" s="11" t="s">
        <v>1373</v>
      </c>
      <c r="B790" s="12" t="s">
        <v>42</v>
      </c>
      <c r="C790">
        <v>1</v>
      </c>
      <c r="D790">
        <v>2022</v>
      </c>
      <c r="E790">
        <v>5</v>
      </c>
      <c r="F790">
        <v>6</v>
      </c>
      <c r="G790">
        <v>1112</v>
      </c>
      <c r="H790">
        <v>3</v>
      </c>
      <c r="I790">
        <v>279737940</v>
      </c>
      <c r="J790">
        <v>7</v>
      </c>
      <c r="K790">
        <v>25</v>
      </c>
      <c r="L790">
        <v>105</v>
      </c>
      <c r="M790">
        <v>81</v>
      </c>
      <c r="N790">
        <v>79</v>
      </c>
    </row>
    <row r="791" spans="1:14">
      <c r="A791" s="13" t="s">
        <v>1374</v>
      </c>
      <c r="B791" s="14" t="s">
        <v>42</v>
      </c>
      <c r="C791">
        <v>1</v>
      </c>
      <c r="D791">
        <v>2022</v>
      </c>
      <c r="E791">
        <v>5</v>
      </c>
      <c r="F791">
        <v>6</v>
      </c>
      <c r="G791">
        <v>1209</v>
      </c>
      <c r="H791">
        <v>0</v>
      </c>
      <c r="I791">
        <v>212351890</v>
      </c>
      <c r="J791">
        <v>9</v>
      </c>
      <c r="K791">
        <v>7</v>
      </c>
      <c r="L791">
        <v>118</v>
      </c>
      <c r="M791">
        <v>63</v>
      </c>
      <c r="N791">
        <v>70</v>
      </c>
    </row>
    <row r="792" spans="1:14">
      <c r="A792" s="11" t="s">
        <v>1375</v>
      </c>
      <c r="B792" s="12" t="s">
        <v>1376</v>
      </c>
      <c r="C792">
        <v>2</v>
      </c>
      <c r="D792">
        <v>2019</v>
      </c>
      <c r="E792">
        <v>5</v>
      </c>
      <c r="F792">
        <v>31</v>
      </c>
      <c r="G792">
        <v>9539</v>
      </c>
      <c r="H792">
        <v>15</v>
      </c>
      <c r="I792">
        <v>1304313953</v>
      </c>
      <c r="J792">
        <v>162</v>
      </c>
      <c r="K792">
        <v>116</v>
      </c>
      <c r="L792">
        <v>176</v>
      </c>
      <c r="M792">
        <v>61</v>
      </c>
      <c r="N792">
        <v>62</v>
      </c>
    </row>
    <row r="793" spans="1:14">
      <c r="A793" s="13" t="s">
        <v>95</v>
      </c>
      <c r="B793" s="14" t="s">
        <v>1252</v>
      </c>
      <c r="C793">
        <v>1</v>
      </c>
      <c r="D793">
        <v>2022</v>
      </c>
      <c r="E793">
        <v>5</v>
      </c>
      <c r="F793">
        <v>6</v>
      </c>
      <c r="G793">
        <v>1992</v>
      </c>
      <c r="H793">
        <v>0</v>
      </c>
      <c r="I793">
        <v>150500965</v>
      </c>
      <c r="J793">
        <v>35</v>
      </c>
      <c r="K793">
        <v>0</v>
      </c>
      <c r="L793">
        <v>158</v>
      </c>
      <c r="M793">
        <v>83</v>
      </c>
      <c r="N793">
        <v>65</v>
      </c>
    </row>
    <row r="794" spans="1:14">
      <c r="A794" s="11" t="s">
        <v>1377</v>
      </c>
      <c r="B794" s="12" t="s">
        <v>42</v>
      </c>
      <c r="C794">
        <v>1</v>
      </c>
      <c r="D794">
        <v>2022</v>
      </c>
      <c r="E794">
        <v>5</v>
      </c>
      <c r="F794">
        <v>6</v>
      </c>
      <c r="G794">
        <v>897</v>
      </c>
      <c r="H794">
        <v>0</v>
      </c>
      <c r="I794">
        <v>246127838</v>
      </c>
      <c r="J794">
        <v>6</v>
      </c>
      <c r="K794">
        <v>20</v>
      </c>
      <c r="L794">
        <v>115</v>
      </c>
      <c r="M794">
        <v>85</v>
      </c>
      <c r="N794">
        <v>58</v>
      </c>
    </row>
    <row r="795" spans="1:14">
      <c r="A795" s="13" t="s">
        <v>1378</v>
      </c>
      <c r="B795" s="14" t="s">
        <v>1379</v>
      </c>
      <c r="C795">
        <v>1</v>
      </c>
      <c r="D795">
        <v>2016</v>
      </c>
      <c r="E795">
        <v>1</v>
      </c>
      <c r="F795">
        <v>15</v>
      </c>
      <c r="G795">
        <v>2948</v>
      </c>
      <c r="H795">
        <v>0</v>
      </c>
      <c r="I795">
        <v>582863434</v>
      </c>
      <c r="J795">
        <v>10</v>
      </c>
      <c r="K795">
        <v>2</v>
      </c>
      <c r="L795">
        <v>110</v>
      </c>
      <c r="M795">
        <v>51</v>
      </c>
      <c r="N795">
        <v>82</v>
      </c>
    </row>
    <row r="796" spans="1:14">
      <c r="A796" s="11" t="s">
        <v>1380</v>
      </c>
      <c r="B796" s="12" t="s">
        <v>1381</v>
      </c>
      <c r="C796">
        <v>2</v>
      </c>
      <c r="D796">
        <v>2022</v>
      </c>
      <c r="E796">
        <v>5</v>
      </c>
      <c r="F796">
        <v>13</v>
      </c>
      <c r="G796">
        <v>1860</v>
      </c>
      <c r="H796">
        <v>0</v>
      </c>
      <c r="I796">
        <v>58687425</v>
      </c>
      <c r="J796">
        <v>1</v>
      </c>
      <c r="K796">
        <v>0</v>
      </c>
      <c r="L796">
        <v>174</v>
      </c>
      <c r="M796">
        <v>73</v>
      </c>
      <c r="N796">
        <v>54</v>
      </c>
    </row>
    <row r="797" spans="1:14">
      <c r="A797" s="13" t="s">
        <v>1382</v>
      </c>
      <c r="B797" s="14" t="s">
        <v>1383</v>
      </c>
      <c r="C797">
        <v>2</v>
      </c>
      <c r="D797">
        <v>2022</v>
      </c>
      <c r="E797">
        <v>4</v>
      </c>
      <c r="F797">
        <v>29</v>
      </c>
      <c r="G797">
        <v>802</v>
      </c>
      <c r="H797">
        <v>0</v>
      </c>
      <c r="I797">
        <v>212109195</v>
      </c>
      <c r="J797">
        <v>16</v>
      </c>
      <c r="K797">
        <v>81</v>
      </c>
      <c r="L797">
        <v>130</v>
      </c>
      <c r="M797">
        <v>91</v>
      </c>
      <c r="N797">
        <v>96</v>
      </c>
    </row>
    <row r="798" spans="1:14">
      <c r="A798" s="11" t="s">
        <v>1384</v>
      </c>
      <c r="B798" s="12" t="s">
        <v>1385</v>
      </c>
      <c r="C798">
        <v>1</v>
      </c>
      <c r="D798">
        <v>2022</v>
      </c>
      <c r="E798">
        <v>4</v>
      </c>
      <c r="F798">
        <v>29</v>
      </c>
      <c r="G798">
        <v>2224</v>
      </c>
      <c r="H798">
        <v>8</v>
      </c>
      <c r="I798">
        <v>382199619</v>
      </c>
      <c r="J798">
        <v>48</v>
      </c>
      <c r="K798">
        <v>40</v>
      </c>
      <c r="L798">
        <v>78</v>
      </c>
      <c r="M798">
        <v>36</v>
      </c>
      <c r="N798">
        <v>54</v>
      </c>
    </row>
    <row r="799" spans="1:14">
      <c r="A799" s="13" t="s">
        <v>1386</v>
      </c>
      <c r="B799" s="14" t="s">
        <v>1191</v>
      </c>
      <c r="C799">
        <v>1</v>
      </c>
      <c r="D799">
        <v>2022</v>
      </c>
      <c r="E799">
        <v>5</v>
      </c>
      <c r="F799">
        <v>13</v>
      </c>
      <c r="G799">
        <v>1103</v>
      </c>
      <c r="H799">
        <v>0</v>
      </c>
      <c r="I799">
        <v>41210087</v>
      </c>
      <c r="J799">
        <v>0</v>
      </c>
      <c r="K799">
        <v>0</v>
      </c>
      <c r="L799">
        <v>104</v>
      </c>
      <c r="M799">
        <v>44</v>
      </c>
      <c r="N799">
        <v>42</v>
      </c>
    </row>
    <row r="800" spans="1:14">
      <c r="A800" s="11" t="s">
        <v>1387</v>
      </c>
      <c r="B800" s="12" t="s">
        <v>942</v>
      </c>
      <c r="C800">
        <v>1</v>
      </c>
      <c r="D800">
        <v>2022</v>
      </c>
      <c r="E800">
        <v>5</v>
      </c>
      <c r="F800">
        <v>13</v>
      </c>
      <c r="G800">
        <v>2265</v>
      </c>
      <c r="H800">
        <v>0</v>
      </c>
      <c r="I800">
        <v>231657891</v>
      </c>
      <c r="J800">
        <v>93</v>
      </c>
      <c r="K800">
        <v>12</v>
      </c>
      <c r="L800">
        <v>121</v>
      </c>
      <c r="M800">
        <v>64</v>
      </c>
      <c r="N800">
        <v>88</v>
      </c>
    </row>
    <row r="801" spans="1:14">
      <c r="A801" s="13" t="s">
        <v>1388</v>
      </c>
      <c r="B801" s="14" t="s">
        <v>1389</v>
      </c>
      <c r="C801">
        <v>1</v>
      </c>
      <c r="D801">
        <v>2022</v>
      </c>
      <c r="E801">
        <v>3</v>
      </c>
      <c r="F801">
        <v>10</v>
      </c>
      <c r="G801">
        <v>555</v>
      </c>
      <c r="H801">
        <v>0</v>
      </c>
      <c r="I801">
        <v>53729194</v>
      </c>
      <c r="J801">
        <v>10</v>
      </c>
      <c r="K801">
        <v>4</v>
      </c>
      <c r="L801">
        <v>105</v>
      </c>
      <c r="M801">
        <v>83</v>
      </c>
      <c r="N801">
        <v>82</v>
      </c>
    </row>
    <row r="802" spans="1:14">
      <c r="A802" s="11" t="s">
        <v>1390</v>
      </c>
      <c r="B802" s="12" t="s">
        <v>686</v>
      </c>
      <c r="C802">
        <v>1</v>
      </c>
      <c r="D802">
        <v>2022</v>
      </c>
      <c r="E802">
        <v>4</v>
      </c>
      <c r="F802">
        <v>22</v>
      </c>
      <c r="G802">
        <v>2050</v>
      </c>
      <c r="H802">
        <v>0</v>
      </c>
      <c r="I802">
        <v>244741137</v>
      </c>
      <c r="J802">
        <v>52</v>
      </c>
      <c r="K802">
        <v>9</v>
      </c>
      <c r="L802">
        <v>81</v>
      </c>
      <c r="M802">
        <v>38</v>
      </c>
      <c r="N802">
        <v>66</v>
      </c>
    </row>
    <row r="803" spans="1:14">
      <c r="A803" s="13" t="s">
        <v>1391</v>
      </c>
      <c r="B803" s="14" t="s">
        <v>1191</v>
      </c>
      <c r="C803">
        <v>1</v>
      </c>
      <c r="D803">
        <v>2022</v>
      </c>
      <c r="E803">
        <v>5</v>
      </c>
      <c r="F803">
        <v>13</v>
      </c>
      <c r="G803">
        <v>1493</v>
      </c>
      <c r="H803">
        <v>0</v>
      </c>
      <c r="I803">
        <v>42485571</v>
      </c>
      <c r="J803">
        <v>2</v>
      </c>
      <c r="K803">
        <v>0</v>
      </c>
      <c r="L803">
        <v>170</v>
      </c>
      <c r="M803">
        <v>37</v>
      </c>
      <c r="N803">
        <v>24</v>
      </c>
    </row>
    <row r="804" spans="1:14">
      <c r="A804" s="11" t="s">
        <v>1392</v>
      </c>
      <c r="B804" s="12" t="s">
        <v>1191</v>
      </c>
      <c r="C804">
        <v>1</v>
      </c>
      <c r="D804">
        <v>2022</v>
      </c>
      <c r="E804">
        <v>5</v>
      </c>
      <c r="F804">
        <v>13</v>
      </c>
      <c r="G804">
        <v>1545</v>
      </c>
      <c r="H804">
        <v>0</v>
      </c>
      <c r="I804">
        <v>37778188</v>
      </c>
      <c r="J804">
        <v>1</v>
      </c>
      <c r="K804">
        <v>0</v>
      </c>
      <c r="L804">
        <v>78</v>
      </c>
      <c r="M804">
        <v>43</v>
      </c>
      <c r="N804">
        <v>38</v>
      </c>
    </row>
    <row r="805" spans="1:14">
      <c r="A805" s="13" t="s">
        <v>1393</v>
      </c>
      <c r="B805" s="14" t="s">
        <v>1207</v>
      </c>
      <c r="C805">
        <v>1</v>
      </c>
      <c r="D805">
        <v>2022</v>
      </c>
      <c r="E805">
        <v>4</v>
      </c>
      <c r="F805">
        <v>29</v>
      </c>
      <c r="G805">
        <v>2350</v>
      </c>
      <c r="H805">
        <v>0</v>
      </c>
      <c r="I805">
        <v>254218729</v>
      </c>
      <c r="J805">
        <v>28</v>
      </c>
      <c r="K805">
        <v>42</v>
      </c>
      <c r="L805">
        <v>125</v>
      </c>
      <c r="M805">
        <v>88</v>
      </c>
      <c r="N805">
        <v>66</v>
      </c>
    </row>
    <row r="806" spans="1:14">
      <c r="A806" s="11" t="s">
        <v>1394</v>
      </c>
      <c r="B806" s="12" t="s">
        <v>1191</v>
      </c>
      <c r="C806">
        <v>1</v>
      </c>
      <c r="D806">
        <v>2022</v>
      </c>
      <c r="E806">
        <v>5</v>
      </c>
      <c r="F806">
        <v>13</v>
      </c>
      <c r="G806">
        <v>1929</v>
      </c>
      <c r="H806">
        <v>0</v>
      </c>
      <c r="I806">
        <v>53603447</v>
      </c>
      <c r="J806">
        <v>2</v>
      </c>
      <c r="K806">
        <v>0</v>
      </c>
      <c r="L806">
        <v>92</v>
      </c>
      <c r="M806">
        <v>66</v>
      </c>
      <c r="N806">
        <v>65</v>
      </c>
    </row>
    <row r="807" spans="1:14">
      <c r="A807" s="13" t="s">
        <v>1395</v>
      </c>
      <c r="B807" s="14" t="s">
        <v>1396</v>
      </c>
      <c r="C807">
        <v>1</v>
      </c>
      <c r="D807">
        <v>2022</v>
      </c>
      <c r="E807">
        <v>4</v>
      </c>
      <c r="F807">
        <v>22</v>
      </c>
      <c r="G807">
        <v>710</v>
      </c>
      <c r="H807">
        <v>4</v>
      </c>
      <c r="I807">
        <v>160035717</v>
      </c>
      <c r="J807">
        <v>16</v>
      </c>
      <c r="K807">
        <v>11</v>
      </c>
      <c r="L807">
        <v>140</v>
      </c>
      <c r="M807">
        <v>84</v>
      </c>
      <c r="N807">
        <v>42</v>
      </c>
    </row>
    <row r="808" spans="1:14">
      <c r="A808" s="11" t="s">
        <v>1397</v>
      </c>
      <c r="B808" s="12" t="s">
        <v>1398</v>
      </c>
      <c r="C808">
        <v>2</v>
      </c>
      <c r="D808">
        <v>2022</v>
      </c>
      <c r="E808">
        <v>4</v>
      </c>
      <c r="F808">
        <v>25</v>
      </c>
      <c r="G808">
        <v>928</v>
      </c>
      <c r="H808">
        <v>0</v>
      </c>
      <c r="I808">
        <v>164163229</v>
      </c>
      <c r="J808">
        <v>19</v>
      </c>
      <c r="K808">
        <v>0</v>
      </c>
      <c r="L808">
        <v>96</v>
      </c>
      <c r="M808">
        <v>61</v>
      </c>
      <c r="N808">
        <v>90</v>
      </c>
    </row>
    <row r="809" spans="1:14">
      <c r="A809" s="13" t="s">
        <v>1399</v>
      </c>
      <c r="B809" s="14" t="s">
        <v>1191</v>
      </c>
      <c r="C809">
        <v>1</v>
      </c>
      <c r="D809">
        <v>2022</v>
      </c>
      <c r="E809">
        <v>5</v>
      </c>
      <c r="F809">
        <v>13</v>
      </c>
      <c r="G809">
        <v>1194</v>
      </c>
      <c r="H809">
        <v>0</v>
      </c>
      <c r="I809">
        <v>37091576</v>
      </c>
      <c r="J809">
        <v>0</v>
      </c>
      <c r="K809">
        <v>0</v>
      </c>
      <c r="L809">
        <v>118</v>
      </c>
      <c r="M809">
        <v>66</v>
      </c>
      <c r="N809">
        <v>43</v>
      </c>
    </row>
    <row r="810" spans="1:14">
      <c r="A810" s="11" t="s">
        <v>1400</v>
      </c>
      <c r="B810" s="12" t="s">
        <v>1401</v>
      </c>
      <c r="C810">
        <v>2</v>
      </c>
      <c r="D810">
        <v>2022</v>
      </c>
      <c r="E810">
        <v>2</v>
      </c>
      <c r="F810">
        <v>6</v>
      </c>
      <c r="G810">
        <v>349</v>
      </c>
      <c r="H810">
        <v>6</v>
      </c>
      <c r="I810">
        <v>284249832</v>
      </c>
      <c r="J810">
        <v>10</v>
      </c>
      <c r="K810">
        <v>22</v>
      </c>
      <c r="L810">
        <v>92</v>
      </c>
      <c r="M810">
        <v>71</v>
      </c>
      <c r="N810">
        <v>60</v>
      </c>
    </row>
    <row r="811" spans="1:14">
      <c r="A811" s="13" t="s">
        <v>1402</v>
      </c>
      <c r="B811" s="14" t="s">
        <v>1403</v>
      </c>
      <c r="C811">
        <v>2</v>
      </c>
      <c r="D811">
        <v>2022</v>
      </c>
      <c r="E811">
        <v>5</v>
      </c>
      <c r="F811">
        <v>13</v>
      </c>
      <c r="G811">
        <v>1890</v>
      </c>
      <c r="H811">
        <v>0</v>
      </c>
      <c r="I811">
        <v>33381454</v>
      </c>
      <c r="J811">
        <v>3</v>
      </c>
      <c r="K811">
        <v>0</v>
      </c>
      <c r="L811">
        <v>140</v>
      </c>
      <c r="M811">
        <v>49</v>
      </c>
      <c r="N811">
        <v>37</v>
      </c>
    </row>
    <row r="812" spans="1:14">
      <c r="A812" s="11" t="s">
        <v>1404</v>
      </c>
      <c r="B812" s="12" t="s">
        <v>1405</v>
      </c>
      <c r="C812">
        <v>2</v>
      </c>
      <c r="D812">
        <v>2022</v>
      </c>
      <c r="E812">
        <v>4</v>
      </c>
      <c r="F812">
        <v>1</v>
      </c>
      <c r="G812">
        <v>1308</v>
      </c>
      <c r="H812">
        <v>2</v>
      </c>
      <c r="I812">
        <v>184622518</v>
      </c>
      <c r="J812">
        <v>23</v>
      </c>
      <c r="K812">
        <v>16</v>
      </c>
      <c r="L812">
        <v>174</v>
      </c>
      <c r="M812">
        <v>68</v>
      </c>
      <c r="N812">
        <v>71</v>
      </c>
    </row>
    <row r="813" spans="1:14">
      <c r="A813" s="13" t="s">
        <v>1406</v>
      </c>
      <c r="B813" s="14" t="s">
        <v>1407</v>
      </c>
      <c r="C813">
        <v>2</v>
      </c>
      <c r="D813">
        <v>2022</v>
      </c>
      <c r="E813">
        <v>1</v>
      </c>
      <c r="F813">
        <v>26</v>
      </c>
      <c r="G813">
        <v>4531</v>
      </c>
      <c r="H813">
        <v>0</v>
      </c>
      <c r="I813">
        <v>300983101</v>
      </c>
      <c r="J813">
        <v>135</v>
      </c>
      <c r="K813">
        <v>74</v>
      </c>
      <c r="L813">
        <v>127</v>
      </c>
      <c r="M813">
        <v>77</v>
      </c>
      <c r="N813">
        <v>78</v>
      </c>
    </row>
    <row r="814" spans="1:14">
      <c r="A814" s="11" t="s">
        <v>1408</v>
      </c>
      <c r="B814" s="12" t="s">
        <v>1409</v>
      </c>
      <c r="C814">
        <v>2</v>
      </c>
      <c r="D814">
        <v>2022</v>
      </c>
      <c r="E814">
        <v>5</v>
      </c>
      <c r="F814">
        <v>6</v>
      </c>
      <c r="G814">
        <v>1657</v>
      </c>
      <c r="H814">
        <v>0</v>
      </c>
      <c r="I814">
        <v>121077868</v>
      </c>
      <c r="J814">
        <v>15</v>
      </c>
      <c r="K814">
        <v>3</v>
      </c>
      <c r="L814">
        <v>96</v>
      </c>
      <c r="M814">
        <v>71</v>
      </c>
      <c r="N814">
        <v>52</v>
      </c>
    </row>
    <row r="815" spans="1:14">
      <c r="A815" s="13" t="s">
        <v>1410</v>
      </c>
      <c r="B815" s="14" t="s">
        <v>1411</v>
      </c>
      <c r="C815">
        <v>2</v>
      </c>
      <c r="D815">
        <v>2022</v>
      </c>
      <c r="E815">
        <v>4</v>
      </c>
      <c r="F815">
        <v>29</v>
      </c>
      <c r="G815">
        <v>1351</v>
      </c>
      <c r="H815">
        <v>0</v>
      </c>
      <c r="I815">
        <v>106919680</v>
      </c>
      <c r="J815">
        <v>26</v>
      </c>
      <c r="K815">
        <v>1</v>
      </c>
      <c r="L815">
        <v>150</v>
      </c>
      <c r="M815">
        <v>82</v>
      </c>
      <c r="N815">
        <v>66</v>
      </c>
    </row>
    <row r="816" spans="1:14">
      <c r="A816" s="11" t="s">
        <v>1412</v>
      </c>
      <c r="B816" s="12" t="s">
        <v>1413</v>
      </c>
      <c r="C816">
        <v>1</v>
      </c>
      <c r="D816">
        <v>2022</v>
      </c>
      <c r="E816">
        <v>4</v>
      </c>
      <c r="F816">
        <v>13</v>
      </c>
      <c r="G816">
        <v>608</v>
      </c>
      <c r="H816">
        <v>0</v>
      </c>
      <c r="I816">
        <v>136996305</v>
      </c>
      <c r="J816">
        <v>5</v>
      </c>
      <c r="K816">
        <v>29</v>
      </c>
      <c r="L816">
        <v>100</v>
      </c>
      <c r="M816">
        <v>87</v>
      </c>
      <c r="N816">
        <v>60</v>
      </c>
    </row>
    <row r="817" spans="1:14">
      <c r="A817" s="13" t="s">
        <v>1414</v>
      </c>
      <c r="B817" s="14" t="s">
        <v>405</v>
      </c>
      <c r="C817">
        <v>1</v>
      </c>
      <c r="D817">
        <v>2021</v>
      </c>
      <c r="E817">
        <v>12</v>
      </c>
      <c r="F817">
        <v>24</v>
      </c>
      <c r="G817">
        <v>1211</v>
      </c>
      <c r="H817">
        <v>0</v>
      </c>
      <c r="I817">
        <v>65719930</v>
      </c>
      <c r="J817">
        <v>31</v>
      </c>
      <c r="K817">
        <v>0</v>
      </c>
      <c r="L817">
        <v>105</v>
      </c>
      <c r="M817">
        <v>73</v>
      </c>
      <c r="N817">
        <v>81</v>
      </c>
    </row>
    <row r="818" spans="1:14">
      <c r="A818" s="11" t="s">
        <v>1415</v>
      </c>
      <c r="B818" s="12" t="s">
        <v>706</v>
      </c>
      <c r="C818">
        <v>1</v>
      </c>
      <c r="D818">
        <v>2022</v>
      </c>
      <c r="E818">
        <v>5</v>
      </c>
      <c r="F818">
        <v>2</v>
      </c>
      <c r="G818">
        <v>629</v>
      </c>
      <c r="H818">
        <v>0</v>
      </c>
      <c r="I818">
        <v>229497852</v>
      </c>
      <c r="J818">
        <v>18</v>
      </c>
      <c r="K818">
        <v>75</v>
      </c>
      <c r="L818">
        <v>104</v>
      </c>
      <c r="M818">
        <v>86</v>
      </c>
      <c r="N818">
        <v>62</v>
      </c>
    </row>
    <row r="819" spans="1:14">
      <c r="A819" s="13" t="s">
        <v>1416</v>
      </c>
      <c r="B819" s="14" t="s">
        <v>1417</v>
      </c>
      <c r="C819">
        <v>1</v>
      </c>
      <c r="D819">
        <v>2022</v>
      </c>
      <c r="E819">
        <v>3</v>
      </c>
      <c r="F819">
        <v>23</v>
      </c>
      <c r="G819">
        <v>1301</v>
      </c>
      <c r="H819">
        <v>0</v>
      </c>
      <c r="I819">
        <v>185550869</v>
      </c>
      <c r="J819">
        <v>23</v>
      </c>
      <c r="K819">
        <v>1</v>
      </c>
      <c r="L819">
        <v>154</v>
      </c>
      <c r="M819">
        <v>54</v>
      </c>
      <c r="N819">
        <v>79</v>
      </c>
    </row>
    <row r="820" spans="1:14">
      <c r="A820" s="11" t="s">
        <v>1418</v>
      </c>
      <c r="B820" s="12" t="s">
        <v>1419</v>
      </c>
      <c r="C820">
        <v>1</v>
      </c>
      <c r="D820">
        <v>2022</v>
      </c>
      <c r="E820">
        <v>2</v>
      </c>
      <c r="F820">
        <v>22</v>
      </c>
      <c r="G820">
        <v>1329</v>
      </c>
      <c r="H820">
        <v>0</v>
      </c>
      <c r="I820">
        <v>54682594</v>
      </c>
      <c r="J820">
        <v>42</v>
      </c>
      <c r="K820">
        <v>51</v>
      </c>
      <c r="L820">
        <v>80</v>
      </c>
      <c r="M820">
        <v>47</v>
      </c>
      <c r="N820">
        <v>83</v>
      </c>
    </row>
    <row r="821" spans="1:14">
      <c r="A821" s="13" t="s">
        <v>1420</v>
      </c>
      <c r="B821" s="14" t="s">
        <v>1421</v>
      </c>
      <c r="C821">
        <v>2</v>
      </c>
      <c r="D821">
        <v>2022</v>
      </c>
      <c r="E821">
        <v>4</v>
      </c>
      <c r="F821">
        <v>24</v>
      </c>
      <c r="G821">
        <v>343</v>
      </c>
      <c r="H821">
        <v>2</v>
      </c>
      <c r="I821">
        <v>240580042</v>
      </c>
      <c r="J821">
        <v>4</v>
      </c>
      <c r="K821">
        <v>35</v>
      </c>
      <c r="L821">
        <v>150</v>
      </c>
      <c r="M821">
        <v>53</v>
      </c>
      <c r="N821">
        <v>43</v>
      </c>
    </row>
    <row r="822" spans="1:14">
      <c r="A822" s="11" t="s">
        <v>1422</v>
      </c>
      <c r="B822" s="12" t="s">
        <v>1423</v>
      </c>
      <c r="C822">
        <v>1</v>
      </c>
      <c r="D822">
        <v>1998</v>
      </c>
      <c r="E822">
        <v>3</v>
      </c>
      <c r="F822">
        <v>31</v>
      </c>
      <c r="G822">
        <v>13101</v>
      </c>
      <c r="H822">
        <v>9</v>
      </c>
      <c r="I822">
        <v>1284942608</v>
      </c>
      <c r="J822">
        <v>137</v>
      </c>
      <c r="K822">
        <v>5</v>
      </c>
      <c r="L822">
        <v>156</v>
      </c>
      <c r="M822">
        <v>32</v>
      </c>
      <c r="N822">
        <v>72</v>
      </c>
    </row>
    <row r="823" spans="1:14">
      <c r="A823" s="13" t="s">
        <v>1424</v>
      </c>
      <c r="B823" s="14" t="s">
        <v>1191</v>
      </c>
      <c r="C823">
        <v>1</v>
      </c>
      <c r="D823">
        <v>2022</v>
      </c>
      <c r="E823">
        <v>5</v>
      </c>
      <c r="F823">
        <v>8</v>
      </c>
      <c r="G823">
        <v>2939</v>
      </c>
      <c r="H823">
        <v>0</v>
      </c>
      <c r="I823">
        <v>71423324</v>
      </c>
      <c r="J823">
        <v>29</v>
      </c>
      <c r="K823">
        <v>0</v>
      </c>
      <c r="L823">
        <v>98</v>
      </c>
      <c r="M823">
        <v>76</v>
      </c>
      <c r="N823">
        <v>81</v>
      </c>
    </row>
    <row r="824" spans="1:14">
      <c r="A824" s="11" t="s">
        <v>1425</v>
      </c>
      <c r="B824" s="12" t="s">
        <v>1426</v>
      </c>
      <c r="C824">
        <v>1</v>
      </c>
      <c r="D824">
        <v>2019</v>
      </c>
      <c r="E824">
        <v>11</v>
      </c>
      <c r="F824">
        <v>7</v>
      </c>
      <c r="G824">
        <v>407</v>
      </c>
      <c r="H824">
        <v>1</v>
      </c>
      <c r="I824">
        <v>244891912</v>
      </c>
      <c r="J824">
        <v>5</v>
      </c>
      <c r="K824">
        <v>0</v>
      </c>
      <c r="L824">
        <v>92</v>
      </c>
      <c r="M824">
        <v>58</v>
      </c>
      <c r="N824">
        <v>36</v>
      </c>
    </row>
    <row r="825" spans="1:14">
      <c r="A825" s="13" t="s">
        <v>1427</v>
      </c>
      <c r="B825" s="14" t="s">
        <v>39</v>
      </c>
      <c r="C825">
        <v>1</v>
      </c>
      <c r="D825">
        <v>2022</v>
      </c>
      <c r="E825">
        <v>5</v>
      </c>
      <c r="F825">
        <v>6</v>
      </c>
      <c r="G825">
        <v>1492</v>
      </c>
      <c r="H825">
        <v>0</v>
      </c>
      <c r="I825">
        <v>132171975</v>
      </c>
      <c r="J825">
        <v>26</v>
      </c>
      <c r="K825">
        <v>2</v>
      </c>
      <c r="L825">
        <v>144</v>
      </c>
      <c r="M825">
        <v>47</v>
      </c>
      <c r="N825">
        <v>50</v>
      </c>
    </row>
    <row r="826" spans="1:14">
      <c r="A826" s="11" t="s">
        <v>1428</v>
      </c>
      <c r="B826" s="12" t="s">
        <v>1429</v>
      </c>
      <c r="C826">
        <v>1</v>
      </c>
      <c r="D826">
        <v>2017</v>
      </c>
      <c r="E826">
        <v>10</v>
      </c>
      <c r="F826">
        <v>20</v>
      </c>
      <c r="G826">
        <v>2264</v>
      </c>
      <c r="H826">
        <v>0</v>
      </c>
      <c r="I826">
        <v>184706613</v>
      </c>
      <c r="J826">
        <v>11</v>
      </c>
      <c r="K826">
        <v>6</v>
      </c>
      <c r="L826">
        <v>150</v>
      </c>
      <c r="M826">
        <v>37</v>
      </c>
      <c r="N826">
        <v>56</v>
      </c>
    </row>
    <row r="827" spans="1:14">
      <c r="A827" s="13" t="s">
        <v>61</v>
      </c>
      <c r="B827" s="14" t="s">
        <v>1430</v>
      </c>
      <c r="C827">
        <v>1</v>
      </c>
      <c r="D827">
        <v>2021</v>
      </c>
      <c r="E827">
        <v>8</v>
      </c>
      <c r="F827">
        <v>9</v>
      </c>
      <c r="G827">
        <v>801</v>
      </c>
      <c r="H827">
        <v>0</v>
      </c>
      <c r="I827">
        <v>184826429</v>
      </c>
      <c r="J827">
        <v>42</v>
      </c>
      <c r="K827">
        <v>9</v>
      </c>
      <c r="L827">
        <v>138</v>
      </c>
      <c r="M827">
        <v>70</v>
      </c>
      <c r="N827">
        <v>44</v>
      </c>
    </row>
    <row r="828" spans="1:14">
      <c r="A828" s="11" t="s">
        <v>1431</v>
      </c>
      <c r="B828" s="12" t="s">
        <v>223</v>
      </c>
      <c r="C828">
        <v>1</v>
      </c>
      <c r="D828">
        <v>2022</v>
      </c>
      <c r="E828">
        <v>6</v>
      </c>
      <c r="F828">
        <v>10</v>
      </c>
      <c r="G828">
        <v>829</v>
      </c>
      <c r="H828">
        <v>0</v>
      </c>
      <c r="I828">
        <v>302006641</v>
      </c>
      <c r="J828">
        <v>32</v>
      </c>
      <c r="K828">
        <v>110</v>
      </c>
      <c r="L828">
        <v>172</v>
      </c>
      <c r="M828">
        <v>56</v>
      </c>
      <c r="N828">
        <v>89</v>
      </c>
    </row>
    <row r="829" spans="1:14">
      <c r="A829" s="13" t="s">
        <v>1432</v>
      </c>
      <c r="B829" s="14" t="s">
        <v>223</v>
      </c>
      <c r="C829">
        <v>1</v>
      </c>
      <c r="D829">
        <v>2022</v>
      </c>
      <c r="E829">
        <v>6</v>
      </c>
      <c r="F829">
        <v>10</v>
      </c>
      <c r="G829">
        <v>736</v>
      </c>
      <c r="H829">
        <v>0</v>
      </c>
      <c r="I829">
        <v>330881149</v>
      </c>
      <c r="J829">
        <v>5</v>
      </c>
      <c r="K829">
        <v>132</v>
      </c>
      <c r="L829">
        <v>77</v>
      </c>
      <c r="M829">
        <v>72</v>
      </c>
      <c r="N829">
        <v>82</v>
      </c>
    </row>
    <row r="830" spans="1:14">
      <c r="A830" s="11" t="s">
        <v>1433</v>
      </c>
      <c r="B830" s="12" t="s">
        <v>66</v>
      </c>
      <c r="C830">
        <v>1</v>
      </c>
      <c r="D830">
        <v>2022</v>
      </c>
      <c r="E830">
        <v>5</v>
      </c>
      <c r="F830">
        <v>20</v>
      </c>
      <c r="G830">
        <v>4449</v>
      </c>
      <c r="H830">
        <v>1</v>
      </c>
      <c r="I830">
        <v>334733572</v>
      </c>
      <c r="J830">
        <v>80</v>
      </c>
      <c r="K830">
        <v>11</v>
      </c>
      <c r="L830">
        <v>107</v>
      </c>
      <c r="M830">
        <v>72</v>
      </c>
      <c r="N830">
        <v>72</v>
      </c>
    </row>
    <row r="831" spans="1:14">
      <c r="A831" s="13" t="s">
        <v>1434</v>
      </c>
      <c r="B831" s="14" t="s">
        <v>66</v>
      </c>
      <c r="C831">
        <v>1</v>
      </c>
      <c r="D831">
        <v>2022</v>
      </c>
      <c r="E831">
        <v>5</v>
      </c>
      <c r="F831">
        <v>20</v>
      </c>
      <c r="G831">
        <v>3218</v>
      </c>
      <c r="H831">
        <v>3</v>
      </c>
      <c r="I831">
        <v>366214458</v>
      </c>
      <c r="J831">
        <v>29</v>
      </c>
      <c r="K831">
        <v>10</v>
      </c>
      <c r="L831">
        <v>114</v>
      </c>
      <c r="M831">
        <v>51</v>
      </c>
      <c r="N831">
        <v>29</v>
      </c>
    </row>
    <row r="832" spans="1:14">
      <c r="A832" s="11" t="s">
        <v>1435</v>
      </c>
      <c r="B832" s="12" t="s">
        <v>223</v>
      </c>
      <c r="C832">
        <v>1</v>
      </c>
      <c r="D832">
        <v>2022</v>
      </c>
      <c r="E832">
        <v>6</v>
      </c>
      <c r="F832">
        <v>10</v>
      </c>
      <c r="G832">
        <v>327</v>
      </c>
      <c r="H832">
        <v>0</v>
      </c>
      <c r="I832">
        <v>114546317</v>
      </c>
      <c r="J832">
        <v>5</v>
      </c>
      <c r="K832">
        <v>40</v>
      </c>
      <c r="L832">
        <v>117</v>
      </c>
      <c r="M832">
        <v>63</v>
      </c>
      <c r="N832">
        <v>51</v>
      </c>
    </row>
    <row r="833" spans="1:14">
      <c r="A833" s="13" t="s">
        <v>63</v>
      </c>
      <c r="B833" s="14" t="s">
        <v>66</v>
      </c>
      <c r="C833">
        <v>1</v>
      </c>
      <c r="D833">
        <v>2022</v>
      </c>
      <c r="E833">
        <v>5</v>
      </c>
      <c r="F833">
        <v>20</v>
      </c>
      <c r="G833">
        <v>2775</v>
      </c>
      <c r="H833">
        <v>0</v>
      </c>
      <c r="I833">
        <v>290833204</v>
      </c>
      <c r="J833">
        <v>21</v>
      </c>
      <c r="K833">
        <v>11</v>
      </c>
      <c r="L833">
        <v>146</v>
      </c>
      <c r="M833">
        <v>69</v>
      </c>
      <c r="N833">
        <v>45</v>
      </c>
    </row>
    <row r="834" spans="1:14">
      <c r="A834" s="11" t="s">
        <v>1436</v>
      </c>
      <c r="B834" s="12" t="s">
        <v>795</v>
      </c>
      <c r="C834">
        <v>1</v>
      </c>
      <c r="D834">
        <v>2022</v>
      </c>
      <c r="E834">
        <v>5</v>
      </c>
      <c r="F834">
        <v>6</v>
      </c>
      <c r="G834">
        <v>4576</v>
      </c>
      <c r="H834">
        <v>0</v>
      </c>
      <c r="I834">
        <v>448500832</v>
      </c>
      <c r="J834">
        <v>79</v>
      </c>
      <c r="K834">
        <v>13</v>
      </c>
      <c r="L834">
        <v>160</v>
      </c>
      <c r="M834">
        <v>80</v>
      </c>
      <c r="N834">
        <v>60</v>
      </c>
    </row>
    <row r="835" spans="1:14">
      <c r="A835" s="13" t="s">
        <v>1437</v>
      </c>
      <c r="B835" s="14" t="s">
        <v>1438</v>
      </c>
      <c r="C835">
        <v>4</v>
      </c>
      <c r="D835">
        <v>2022</v>
      </c>
      <c r="E835">
        <v>6</v>
      </c>
      <c r="F835">
        <v>10</v>
      </c>
      <c r="G835">
        <v>2313</v>
      </c>
      <c r="H835">
        <v>0</v>
      </c>
      <c r="I835">
        <v>136676504</v>
      </c>
      <c r="J835">
        <v>34</v>
      </c>
      <c r="K835">
        <v>0</v>
      </c>
      <c r="L835">
        <v>120</v>
      </c>
      <c r="M835">
        <v>88</v>
      </c>
      <c r="N835">
        <v>56</v>
      </c>
    </row>
    <row r="836" spans="1:14">
      <c r="A836" s="11" t="s">
        <v>1439</v>
      </c>
      <c r="B836" s="12" t="s">
        <v>1440</v>
      </c>
      <c r="C836">
        <v>3</v>
      </c>
      <c r="D836">
        <v>2022</v>
      </c>
      <c r="E836">
        <v>5</v>
      </c>
      <c r="F836">
        <v>27</v>
      </c>
      <c r="G836">
        <v>3983</v>
      </c>
      <c r="H836">
        <v>0</v>
      </c>
      <c r="I836">
        <v>190625045</v>
      </c>
      <c r="J836">
        <v>73</v>
      </c>
      <c r="K836">
        <v>45</v>
      </c>
      <c r="L836">
        <v>100</v>
      </c>
      <c r="M836">
        <v>82</v>
      </c>
      <c r="N836">
        <v>70</v>
      </c>
    </row>
    <row r="837" spans="1:14">
      <c r="A837" s="13" t="s">
        <v>1441</v>
      </c>
      <c r="B837" s="14" t="s">
        <v>223</v>
      </c>
      <c r="C837">
        <v>1</v>
      </c>
      <c r="D837">
        <v>2022</v>
      </c>
      <c r="E837">
        <v>6</v>
      </c>
      <c r="F837">
        <v>10</v>
      </c>
      <c r="G837">
        <v>279</v>
      </c>
      <c r="H837">
        <v>0</v>
      </c>
      <c r="I837">
        <v>79095270</v>
      </c>
      <c r="J837">
        <v>0</v>
      </c>
      <c r="K837">
        <v>18</v>
      </c>
      <c r="L837">
        <v>158</v>
      </c>
      <c r="M837">
        <v>60</v>
      </c>
      <c r="N837">
        <v>84</v>
      </c>
    </row>
    <row r="838" spans="1:14">
      <c r="A838" s="11" t="s">
        <v>1442</v>
      </c>
      <c r="B838" s="12" t="s">
        <v>66</v>
      </c>
      <c r="C838">
        <v>1</v>
      </c>
      <c r="D838">
        <v>2022</v>
      </c>
      <c r="E838">
        <v>5</v>
      </c>
      <c r="F838">
        <v>20</v>
      </c>
      <c r="G838">
        <v>2302</v>
      </c>
      <c r="H838">
        <v>0</v>
      </c>
      <c r="I838">
        <v>273194684</v>
      </c>
      <c r="J838">
        <v>20</v>
      </c>
      <c r="K838">
        <v>3</v>
      </c>
      <c r="L838">
        <v>142</v>
      </c>
      <c r="M838">
        <v>56</v>
      </c>
      <c r="N838">
        <v>54</v>
      </c>
    </row>
    <row r="839" spans="1:14">
      <c r="A839" s="13" t="s">
        <v>1443</v>
      </c>
      <c r="B839" s="14" t="s">
        <v>1444</v>
      </c>
      <c r="C839">
        <v>4</v>
      </c>
      <c r="D839">
        <v>2022</v>
      </c>
      <c r="E839">
        <v>5</v>
      </c>
      <c r="F839">
        <v>20</v>
      </c>
      <c r="G839">
        <v>3559</v>
      </c>
      <c r="H839">
        <v>3</v>
      </c>
      <c r="I839">
        <v>333146475</v>
      </c>
      <c r="J839">
        <v>36</v>
      </c>
      <c r="K839">
        <v>1</v>
      </c>
      <c r="L839">
        <v>170</v>
      </c>
      <c r="M839">
        <v>80</v>
      </c>
      <c r="N839">
        <v>85</v>
      </c>
    </row>
    <row r="840" spans="1:14">
      <c r="A840" s="11" t="s">
        <v>1445</v>
      </c>
      <c r="B840" s="12" t="s">
        <v>1446</v>
      </c>
      <c r="C840">
        <v>2</v>
      </c>
      <c r="D840">
        <v>2022</v>
      </c>
      <c r="E840">
        <v>5</v>
      </c>
      <c r="F840">
        <v>27</v>
      </c>
      <c r="G840">
        <v>2129</v>
      </c>
      <c r="H840">
        <v>0</v>
      </c>
      <c r="I840">
        <v>194902696</v>
      </c>
      <c r="J840">
        <v>23</v>
      </c>
      <c r="K840">
        <v>1</v>
      </c>
      <c r="L840">
        <v>84</v>
      </c>
      <c r="M840">
        <v>71</v>
      </c>
      <c r="N840">
        <v>86</v>
      </c>
    </row>
    <row r="841" spans="1:14">
      <c r="A841" s="13" t="s">
        <v>1447</v>
      </c>
      <c r="B841" s="14" t="s">
        <v>66</v>
      </c>
      <c r="C841">
        <v>1</v>
      </c>
      <c r="D841">
        <v>2022</v>
      </c>
      <c r="E841">
        <v>5</v>
      </c>
      <c r="F841">
        <v>20</v>
      </c>
      <c r="G841">
        <v>3291</v>
      </c>
      <c r="H841">
        <v>5</v>
      </c>
      <c r="I841">
        <v>311482393</v>
      </c>
      <c r="J841">
        <v>43</v>
      </c>
      <c r="K841">
        <v>28</v>
      </c>
      <c r="L841">
        <v>139</v>
      </c>
      <c r="M841">
        <v>58</v>
      </c>
      <c r="N841">
        <v>46</v>
      </c>
    </row>
    <row r="842" spans="1:14">
      <c r="A842" s="11" t="s">
        <v>1448</v>
      </c>
      <c r="B842" s="12" t="s">
        <v>1449</v>
      </c>
      <c r="C842">
        <v>1</v>
      </c>
      <c r="D842">
        <v>1982</v>
      </c>
      <c r="E842">
        <v>1</v>
      </c>
      <c r="F842">
        <v>1</v>
      </c>
      <c r="G842">
        <v>5328</v>
      </c>
      <c r="H842">
        <v>0</v>
      </c>
      <c r="I842">
        <v>195918494</v>
      </c>
      <c r="J842">
        <v>54</v>
      </c>
      <c r="K842">
        <v>76</v>
      </c>
      <c r="L842">
        <v>151</v>
      </c>
      <c r="M842">
        <v>73</v>
      </c>
      <c r="N842">
        <v>67</v>
      </c>
    </row>
    <row r="843" spans="1:14">
      <c r="A843" s="13" t="s">
        <v>1450</v>
      </c>
      <c r="B843" s="14" t="s">
        <v>1451</v>
      </c>
      <c r="C843">
        <v>2</v>
      </c>
      <c r="D843">
        <v>2022</v>
      </c>
      <c r="E843">
        <v>6</v>
      </c>
      <c r="F843">
        <v>8</v>
      </c>
      <c r="G843">
        <v>1401</v>
      </c>
      <c r="H843">
        <v>0</v>
      </c>
      <c r="I843">
        <v>248511839</v>
      </c>
      <c r="J843">
        <v>26</v>
      </c>
      <c r="K843">
        <v>16</v>
      </c>
      <c r="L843">
        <v>128</v>
      </c>
      <c r="M843">
        <v>82</v>
      </c>
      <c r="N843">
        <v>75</v>
      </c>
    </row>
    <row r="844" spans="1:14">
      <c r="A844" s="11" t="s">
        <v>1452</v>
      </c>
      <c r="B844" s="12" t="s">
        <v>66</v>
      </c>
      <c r="C844">
        <v>1</v>
      </c>
      <c r="D844">
        <v>2022</v>
      </c>
      <c r="E844">
        <v>5</v>
      </c>
      <c r="F844">
        <v>20</v>
      </c>
      <c r="G844">
        <v>1933</v>
      </c>
      <c r="H844">
        <v>0</v>
      </c>
      <c r="I844">
        <v>233671263</v>
      </c>
      <c r="J844">
        <v>13</v>
      </c>
      <c r="K844">
        <v>2</v>
      </c>
      <c r="L844">
        <v>118</v>
      </c>
      <c r="M844">
        <v>56</v>
      </c>
      <c r="N844">
        <v>54</v>
      </c>
    </row>
    <row r="845" spans="1:14">
      <c r="A845" s="13" t="s">
        <v>1453</v>
      </c>
      <c r="B845" s="14" t="s">
        <v>66</v>
      </c>
      <c r="C845">
        <v>1</v>
      </c>
      <c r="D845">
        <v>2022</v>
      </c>
      <c r="E845">
        <v>5</v>
      </c>
      <c r="F845">
        <v>20</v>
      </c>
      <c r="G845">
        <v>1986</v>
      </c>
      <c r="H845">
        <v>0</v>
      </c>
      <c r="I845">
        <v>199587884</v>
      </c>
      <c r="J845">
        <v>7</v>
      </c>
      <c r="K845">
        <v>1</v>
      </c>
      <c r="L845">
        <v>183</v>
      </c>
      <c r="M845">
        <v>65</v>
      </c>
      <c r="N845">
        <v>72</v>
      </c>
    </row>
    <row r="846" spans="1:14">
      <c r="A846" s="11" t="s">
        <v>1454</v>
      </c>
      <c r="B846" s="12" t="s">
        <v>1455</v>
      </c>
      <c r="C846">
        <v>1</v>
      </c>
      <c r="D846">
        <v>2022</v>
      </c>
      <c r="E846">
        <v>6</v>
      </c>
      <c r="F846">
        <v>9</v>
      </c>
      <c r="G846">
        <v>1057</v>
      </c>
      <c r="H846">
        <v>0</v>
      </c>
      <c r="I846">
        <v>91781263</v>
      </c>
      <c r="J846">
        <v>51</v>
      </c>
      <c r="K846">
        <v>14</v>
      </c>
      <c r="L846">
        <v>83</v>
      </c>
      <c r="M846">
        <v>63</v>
      </c>
      <c r="N846">
        <v>62</v>
      </c>
    </row>
    <row r="847" spans="1:14">
      <c r="A847" s="13" t="s">
        <v>1456</v>
      </c>
      <c r="B847" s="14" t="s">
        <v>1457</v>
      </c>
      <c r="C847">
        <v>2</v>
      </c>
      <c r="D847">
        <v>2022</v>
      </c>
      <c r="E847">
        <v>2</v>
      </c>
      <c r="F847">
        <v>18</v>
      </c>
      <c r="G847">
        <v>5115</v>
      </c>
      <c r="H847">
        <v>13</v>
      </c>
      <c r="I847">
        <v>383835984</v>
      </c>
      <c r="J847">
        <v>109</v>
      </c>
      <c r="K847">
        <v>38</v>
      </c>
      <c r="L847">
        <v>122</v>
      </c>
      <c r="M847">
        <v>85</v>
      </c>
      <c r="N847">
        <v>80</v>
      </c>
    </row>
    <row r="848" spans="1:14">
      <c r="A848" s="11" t="s">
        <v>1458</v>
      </c>
      <c r="B848" s="12" t="s">
        <v>66</v>
      </c>
      <c r="C848">
        <v>1</v>
      </c>
      <c r="D848">
        <v>2022</v>
      </c>
      <c r="E848">
        <v>5</v>
      </c>
      <c r="F848">
        <v>20</v>
      </c>
      <c r="G848">
        <v>2094</v>
      </c>
      <c r="H848">
        <v>1</v>
      </c>
      <c r="I848">
        <v>236060709</v>
      </c>
      <c r="J848">
        <v>8</v>
      </c>
      <c r="K848">
        <v>1</v>
      </c>
      <c r="L848">
        <v>165</v>
      </c>
      <c r="M848">
        <v>72</v>
      </c>
      <c r="N848">
        <v>48</v>
      </c>
    </row>
    <row r="849" spans="1:14">
      <c r="A849" s="13" t="s">
        <v>1459</v>
      </c>
      <c r="B849" s="14" t="s">
        <v>66</v>
      </c>
      <c r="C849">
        <v>1</v>
      </c>
      <c r="D849">
        <v>2022</v>
      </c>
      <c r="E849">
        <v>5</v>
      </c>
      <c r="F849">
        <v>20</v>
      </c>
      <c r="G849">
        <v>2171</v>
      </c>
      <c r="H849">
        <v>0</v>
      </c>
      <c r="I849">
        <v>189236868</v>
      </c>
      <c r="J849">
        <v>18</v>
      </c>
      <c r="K849">
        <v>1</v>
      </c>
      <c r="L849">
        <v>106</v>
      </c>
      <c r="M849">
        <v>83</v>
      </c>
      <c r="N849">
        <v>64</v>
      </c>
    </row>
    <row r="850" spans="1:14">
      <c r="A850" s="11" t="s">
        <v>1460</v>
      </c>
      <c r="B850" s="12" t="s">
        <v>1461</v>
      </c>
      <c r="C850">
        <v>2</v>
      </c>
      <c r="D850">
        <v>2022</v>
      </c>
      <c r="E850">
        <v>5</v>
      </c>
      <c r="F850">
        <v>25</v>
      </c>
      <c r="G850">
        <v>896</v>
      </c>
      <c r="H850">
        <v>0</v>
      </c>
      <c r="I850">
        <v>160845341</v>
      </c>
      <c r="J850">
        <v>19</v>
      </c>
      <c r="K850">
        <v>0</v>
      </c>
      <c r="L850">
        <v>77</v>
      </c>
      <c r="M850">
        <v>81</v>
      </c>
      <c r="N850">
        <v>58</v>
      </c>
    </row>
    <row r="851" spans="1:14">
      <c r="A851" s="13" t="s">
        <v>1462</v>
      </c>
      <c r="B851" s="14" t="s">
        <v>1463</v>
      </c>
      <c r="C851">
        <v>1</v>
      </c>
      <c r="D851">
        <v>2014</v>
      </c>
      <c r="E851">
        <v>1</v>
      </c>
      <c r="F851">
        <v>1</v>
      </c>
      <c r="G851">
        <v>5148</v>
      </c>
      <c r="H851">
        <v>0</v>
      </c>
      <c r="I851">
        <v>588955257</v>
      </c>
      <c r="J851">
        <v>90</v>
      </c>
      <c r="K851">
        <v>22</v>
      </c>
      <c r="L851">
        <v>91</v>
      </c>
      <c r="M851">
        <v>57</v>
      </c>
      <c r="N851">
        <v>89</v>
      </c>
    </row>
    <row r="852" spans="1:14">
      <c r="A852" s="11" t="s">
        <v>1464</v>
      </c>
      <c r="B852" s="12" t="s">
        <v>658</v>
      </c>
      <c r="C852">
        <v>1</v>
      </c>
      <c r="D852">
        <v>2022</v>
      </c>
      <c r="E852">
        <v>5</v>
      </c>
      <c r="F852">
        <v>3</v>
      </c>
      <c r="G852">
        <v>2528</v>
      </c>
      <c r="H852">
        <v>0</v>
      </c>
      <c r="I852">
        <v>238350348</v>
      </c>
      <c r="J852">
        <v>63</v>
      </c>
      <c r="K852">
        <v>8</v>
      </c>
      <c r="L852">
        <v>148</v>
      </c>
      <c r="M852">
        <v>51</v>
      </c>
      <c r="N852">
        <v>63</v>
      </c>
    </row>
    <row r="853" spans="1:14">
      <c r="A853" s="13" t="s">
        <v>1465</v>
      </c>
      <c r="B853" s="14" t="s">
        <v>66</v>
      </c>
      <c r="C853">
        <v>1</v>
      </c>
      <c r="D853">
        <v>2022</v>
      </c>
      <c r="E853">
        <v>5</v>
      </c>
      <c r="F853">
        <v>20</v>
      </c>
      <c r="G853">
        <v>1900</v>
      </c>
      <c r="H853">
        <v>1</v>
      </c>
      <c r="I853">
        <v>187703102</v>
      </c>
      <c r="J853">
        <v>15</v>
      </c>
      <c r="K853">
        <v>1</v>
      </c>
      <c r="L853">
        <v>114</v>
      </c>
      <c r="M853">
        <v>71</v>
      </c>
      <c r="N853">
        <v>81</v>
      </c>
    </row>
    <row r="854" spans="1:14">
      <c r="A854" s="11" t="s">
        <v>620</v>
      </c>
      <c r="B854" s="12" t="s">
        <v>1466</v>
      </c>
      <c r="C854">
        <v>2</v>
      </c>
      <c r="D854">
        <v>2022</v>
      </c>
      <c r="E854">
        <v>6</v>
      </c>
      <c r="F854">
        <v>10</v>
      </c>
      <c r="G854">
        <v>3879</v>
      </c>
      <c r="H854">
        <v>2</v>
      </c>
      <c r="I854">
        <v>295307001</v>
      </c>
      <c r="J854">
        <v>107</v>
      </c>
      <c r="K854">
        <v>76</v>
      </c>
      <c r="L854">
        <v>120</v>
      </c>
      <c r="M854">
        <v>91</v>
      </c>
      <c r="N854">
        <v>77</v>
      </c>
    </row>
    <row r="855" spans="1:14">
      <c r="A855" s="13" t="s">
        <v>1467</v>
      </c>
      <c r="B855" s="14" t="s">
        <v>1468</v>
      </c>
      <c r="C855">
        <v>2</v>
      </c>
      <c r="D855">
        <v>2022</v>
      </c>
      <c r="E855">
        <v>6</v>
      </c>
      <c r="F855">
        <v>2</v>
      </c>
      <c r="G855">
        <v>896</v>
      </c>
      <c r="H855">
        <v>0</v>
      </c>
      <c r="I855">
        <v>138334433</v>
      </c>
      <c r="J855">
        <v>0</v>
      </c>
      <c r="K855">
        <v>0</v>
      </c>
      <c r="L855">
        <v>92</v>
      </c>
      <c r="M855">
        <v>83</v>
      </c>
      <c r="N855">
        <v>82</v>
      </c>
    </row>
    <row r="856" spans="1:14">
      <c r="A856" s="11" t="s">
        <v>1469</v>
      </c>
      <c r="B856" s="12" t="s">
        <v>1470</v>
      </c>
      <c r="C856">
        <v>1</v>
      </c>
      <c r="D856">
        <v>2016</v>
      </c>
      <c r="E856">
        <v>11</v>
      </c>
      <c r="F856">
        <v>10</v>
      </c>
      <c r="G856">
        <v>8775</v>
      </c>
      <c r="H856">
        <v>0</v>
      </c>
      <c r="I856">
        <v>445590495</v>
      </c>
      <c r="J856">
        <v>33</v>
      </c>
      <c r="K856">
        <v>60</v>
      </c>
      <c r="L856">
        <v>118</v>
      </c>
      <c r="M856">
        <v>56</v>
      </c>
      <c r="N856">
        <v>45</v>
      </c>
    </row>
    <row r="857" spans="1:14">
      <c r="A857" s="13" t="s">
        <v>1471</v>
      </c>
      <c r="B857" s="14" t="s">
        <v>1472</v>
      </c>
      <c r="C857">
        <v>3</v>
      </c>
      <c r="D857">
        <v>2022</v>
      </c>
      <c r="E857">
        <v>3</v>
      </c>
      <c r="F857">
        <v>18</v>
      </c>
      <c r="G857">
        <v>5290</v>
      </c>
      <c r="H857">
        <v>0</v>
      </c>
      <c r="I857">
        <v>286739476</v>
      </c>
      <c r="J857">
        <v>139</v>
      </c>
      <c r="K857">
        <v>73</v>
      </c>
      <c r="L857">
        <v>123</v>
      </c>
      <c r="M857">
        <v>60</v>
      </c>
      <c r="N857">
        <v>71</v>
      </c>
    </row>
    <row r="858" spans="1:14">
      <c r="A858" s="11" t="s">
        <v>1473</v>
      </c>
      <c r="B858" s="12" t="s">
        <v>489</v>
      </c>
      <c r="C858">
        <v>1</v>
      </c>
      <c r="D858">
        <v>2018</v>
      </c>
      <c r="E858">
        <v>9</v>
      </c>
      <c r="F858">
        <v>12</v>
      </c>
      <c r="G858">
        <v>10211</v>
      </c>
      <c r="H858">
        <v>0</v>
      </c>
      <c r="I858">
        <v>1122364376</v>
      </c>
      <c r="J858">
        <v>38</v>
      </c>
      <c r="K858">
        <v>79</v>
      </c>
      <c r="L858">
        <v>89</v>
      </c>
      <c r="M858">
        <v>52</v>
      </c>
      <c r="N858">
        <v>48</v>
      </c>
    </row>
    <row r="859" spans="1:14">
      <c r="A859" s="13" t="s">
        <v>1474</v>
      </c>
      <c r="B859" s="14" t="s">
        <v>1475</v>
      </c>
      <c r="C859">
        <v>1</v>
      </c>
      <c r="D859">
        <v>2022</v>
      </c>
      <c r="E859">
        <v>6</v>
      </c>
      <c r="F859">
        <v>2</v>
      </c>
      <c r="G859">
        <v>584</v>
      </c>
      <c r="H859">
        <v>8</v>
      </c>
      <c r="I859">
        <v>157136970</v>
      </c>
      <c r="J859">
        <v>12</v>
      </c>
      <c r="K859">
        <v>1</v>
      </c>
      <c r="L859">
        <v>110</v>
      </c>
      <c r="M859">
        <v>81</v>
      </c>
      <c r="N859">
        <v>93</v>
      </c>
    </row>
    <row r="860" spans="1:14">
      <c r="A860" s="11" t="s">
        <v>1476</v>
      </c>
      <c r="B860" s="12" t="s">
        <v>66</v>
      </c>
      <c r="C860">
        <v>1</v>
      </c>
      <c r="D860">
        <v>2022</v>
      </c>
      <c r="E860">
        <v>5</v>
      </c>
      <c r="F860">
        <v>20</v>
      </c>
      <c r="G860">
        <v>1517</v>
      </c>
      <c r="H860">
        <v>0</v>
      </c>
      <c r="I860">
        <v>137070925</v>
      </c>
      <c r="J860">
        <v>26</v>
      </c>
      <c r="K860">
        <v>2</v>
      </c>
      <c r="L860">
        <v>118</v>
      </c>
      <c r="M860">
        <v>42</v>
      </c>
      <c r="N860">
        <v>20</v>
      </c>
    </row>
    <row r="861" spans="1:14">
      <c r="A861" s="13">
        <v>295</v>
      </c>
      <c r="B861" s="14" t="s">
        <v>1477</v>
      </c>
      <c r="C861">
        <v>1</v>
      </c>
      <c r="D861">
        <v>2021</v>
      </c>
      <c r="E861">
        <v>5</v>
      </c>
      <c r="F861">
        <v>15</v>
      </c>
      <c r="G861">
        <v>246</v>
      </c>
      <c r="H861">
        <v>4</v>
      </c>
      <c r="I861">
        <v>183273246</v>
      </c>
      <c r="J861">
        <v>4</v>
      </c>
      <c r="K861">
        <v>106</v>
      </c>
      <c r="L861">
        <v>90</v>
      </c>
      <c r="M861">
        <v>68</v>
      </c>
      <c r="N861">
        <v>76</v>
      </c>
    </row>
    <row r="862" spans="1:14">
      <c r="A862" s="11" t="s">
        <v>1478</v>
      </c>
      <c r="B862" s="12" t="s">
        <v>1479</v>
      </c>
      <c r="C862">
        <v>1</v>
      </c>
      <c r="D862">
        <v>2022</v>
      </c>
      <c r="E862">
        <v>5</v>
      </c>
      <c r="F862">
        <v>13</v>
      </c>
      <c r="G862">
        <v>220</v>
      </c>
      <c r="H862">
        <v>4</v>
      </c>
      <c r="I862">
        <v>184807630</v>
      </c>
      <c r="J862">
        <v>16</v>
      </c>
      <c r="K862">
        <v>5</v>
      </c>
      <c r="L862">
        <v>130</v>
      </c>
      <c r="M862">
        <v>49</v>
      </c>
      <c r="N862">
        <v>40</v>
      </c>
    </row>
    <row r="863" spans="1:14">
      <c r="A863" s="13" t="s">
        <v>1480</v>
      </c>
      <c r="B863" s="14" t="s">
        <v>1481</v>
      </c>
      <c r="C863">
        <v>1</v>
      </c>
      <c r="D863">
        <v>2022</v>
      </c>
      <c r="E863">
        <v>5</v>
      </c>
      <c r="F863">
        <v>13</v>
      </c>
      <c r="G863">
        <v>514</v>
      </c>
      <c r="H863">
        <v>0</v>
      </c>
      <c r="I863">
        <v>164856284</v>
      </c>
      <c r="J863">
        <v>5</v>
      </c>
      <c r="K863">
        <v>36</v>
      </c>
      <c r="L863">
        <v>154</v>
      </c>
      <c r="M863">
        <v>70</v>
      </c>
      <c r="N863">
        <v>62</v>
      </c>
    </row>
    <row r="864" spans="1:14">
      <c r="A864" s="11" t="s">
        <v>1482</v>
      </c>
      <c r="B864" s="12" t="s">
        <v>1483</v>
      </c>
      <c r="C864">
        <v>1</v>
      </c>
      <c r="D864">
        <v>1986</v>
      </c>
      <c r="E864">
        <v>3</v>
      </c>
      <c r="F864">
        <v>3</v>
      </c>
      <c r="G864">
        <v>6080</v>
      </c>
      <c r="H864">
        <v>0</v>
      </c>
      <c r="I864">
        <v>704171068</v>
      </c>
      <c r="J864">
        <v>112</v>
      </c>
      <c r="K864">
        <v>198</v>
      </c>
      <c r="L864">
        <v>105</v>
      </c>
      <c r="M864">
        <v>54</v>
      </c>
      <c r="N864">
        <v>83</v>
      </c>
    </row>
    <row r="865" spans="1:14">
      <c r="A865" s="13" t="s">
        <v>1484</v>
      </c>
      <c r="B865" s="14" t="s">
        <v>451</v>
      </c>
      <c r="C865">
        <v>1</v>
      </c>
      <c r="D865">
        <v>2022</v>
      </c>
      <c r="E865">
        <v>6</v>
      </c>
      <c r="F865">
        <v>21</v>
      </c>
      <c r="G865">
        <v>9724</v>
      </c>
      <c r="H865">
        <v>0</v>
      </c>
      <c r="I865">
        <v>354614964</v>
      </c>
      <c r="J865">
        <v>222</v>
      </c>
      <c r="K865">
        <v>61</v>
      </c>
      <c r="L865">
        <v>115</v>
      </c>
      <c r="M865">
        <v>70</v>
      </c>
      <c r="N865">
        <v>88</v>
      </c>
    </row>
    <row r="866" spans="1:14">
      <c r="A866" s="11" t="s">
        <v>1485</v>
      </c>
      <c r="B866" s="12" t="s">
        <v>1486</v>
      </c>
      <c r="C866">
        <v>5</v>
      </c>
      <c r="D866">
        <v>2022</v>
      </c>
      <c r="E866">
        <v>6</v>
      </c>
      <c r="F866">
        <v>16</v>
      </c>
      <c r="G866">
        <v>2341</v>
      </c>
      <c r="H866">
        <v>0</v>
      </c>
      <c r="I866">
        <v>279717388</v>
      </c>
      <c r="J866">
        <v>37</v>
      </c>
      <c r="K866">
        <v>2</v>
      </c>
      <c r="L866">
        <v>110</v>
      </c>
      <c r="M866">
        <v>91</v>
      </c>
      <c r="N866">
        <v>82</v>
      </c>
    </row>
    <row r="867" spans="1:14">
      <c r="A867" s="13" t="s">
        <v>1487</v>
      </c>
      <c r="B867" s="14" t="s">
        <v>458</v>
      </c>
      <c r="C867">
        <v>1</v>
      </c>
      <c r="D867">
        <v>2022</v>
      </c>
      <c r="E867">
        <v>6</v>
      </c>
      <c r="F867">
        <v>17</v>
      </c>
      <c r="G867">
        <v>5263</v>
      </c>
      <c r="H867">
        <v>0</v>
      </c>
      <c r="I867">
        <v>195628667</v>
      </c>
      <c r="J867">
        <v>66</v>
      </c>
      <c r="K867">
        <v>89</v>
      </c>
      <c r="L867">
        <v>125</v>
      </c>
      <c r="M867">
        <v>51</v>
      </c>
      <c r="N867">
        <v>68</v>
      </c>
    </row>
    <row r="868" spans="1:14">
      <c r="A868" s="11" t="s">
        <v>1488</v>
      </c>
      <c r="B868" s="12" t="s">
        <v>1489</v>
      </c>
      <c r="C868">
        <v>1</v>
      </c>
      <c r="D868">
        <v>2022</v>
      </c>
      <c r="E868">
        <v>6</v>
      </c>
      <c r="F868">
        <v>10</v>
      </c>
      <c r="G868">
        <v>2402</v>
      </c>
      <c r="H868">
        <v>0</v>
      </c>
      <c r="I868">
        <v>221752937</v>
      </c>
      <c r="J868">
        <v>45</v>
      </c>
      <c r="K868">
        <v>2</v>
      </c>
      <c r="L868">
        <v>102</v>
      </c>
      <c r="M868">
        <v>73</v>
      </c>
      <c r="N868">
        <v>75</v>
      </c>
    </row>
    <row r="869" spans="1:14">
      <c r="A869" s="13" t="s">
        <v>1490</v>
      </c>
      <c r="B869" s="14" t="s">
        <v>1491</v>
      </c>
      <c r="C869">
        <v>1</v>
      </c>
      <c r="D869">
        <v>2022</v>
      </c>
      <c r="E869">
        <v>2</v>
      </c>
      <c r="F869">
        <v>6</v>
      </c>
      <c r="G869">
        <v>795</v>
      </c>
      <c r="H869">
        <v>11</v>
      </c>
      <c r="I869">
        <v>263280370</v>
      </c>
      <c r="J869">
        <v>26</v>
      </c>
      <c r="K869">
        <v>18</v>
      </c>
      <c r="L869">
        <v>120</v>
      </c>
      <c r="M869">
        <v>81</v>
      </c>
      <c r="N869">
        <v>65</v>
      </c>
    </row>
    <row r="870" spans="1:14">
      <c r="A870" s="11" t="s">
        <v>1492</v>
      </c>
      <c r="B870" s="12" t="s">
        <v>1493</v>
      </c>
      <c r="C870">
        <v>1</v>
      </c>
      <c r="D870">
        <v>2022</v>
      </c>
      <c r="E870">
        <v>6</v>
      </c>
      <c r="F870">
        <v>24</v>
      </c>
      <c r="G870">
        <v>571</v>
      </c>
      <c r="H870">
        <v>0</v>
      </c>
      <c r="I870">
        <v>213505179</v>
      </c>
      <c r="J870">
        <v>19</v>
      </c>
      <c r="K870">
        <v>21</v>
      </c>
      <c r="L870">
        <v>97</v>
      </c>
      <c r="M870">
        <v>80</v>
      </c>
      <c r="N870">
        <v>86</v>
      </c>
    </row>
    <row r="871" spans="1:14">
      <c r="A871" s="13" t="s">
        <v>1494</v>
      </c>
      <c r="B871" s="14" t="s">
        <v>1495</v>
      </c>
      <c r="C871">
        <v>2</v>
      </c>
      <c r="D871">
        <v>2022</v>
      </c>
      <c r="E871">
        <v>3</v>
      </c>
      <c r="F871">
        <v>24</v>
      </c>
      <c r="G871">
        <v>832</v>
      </c>
      <c r="H871">
        <v>3</v>
      </c>
      <c r="I871">
        <v>130419412</v>
      </c>
      <c r="J871">
        <v>18</v>
      </c>
      <c r="K871">
        <v>124</v>
      </c>
      <c r="L871">
        <v>140</v>
      </c>
      <c r="M871">
        <v>44</v>
      </c>
      <c r="N871">
        <v>92</v>
      </c>
    </row>
    <row r="872" spans="1:14">
      <c r="A872" s="11" t="s">
        <v>1496</v>
      </c>
      <c r="B872" s="12" t="s">
        <v>1497</v>
      </c>
      <c r="C872">
        <v>1</v>
      </c>
      <c r="D872">
        <v>2022</v>
      </c>
      <c r="E872">
        <v>7</v>
      </c>
      <c r="F872">
        <v>1</v>
      </c>
      <c r="G872">
        <v>565</v>
      </c>
      <c r="H872">
        <v>0</v>
      </c>
      <c r="I872">
        <v>155795783</v>
      </c>
      <c r="J872">
        <v>6</v>
      </c>
      <c r="K872">
        <v>52</v>
      </c>
      <c r="L872">
        <v>97</v>
      </c>
      <c r="M872">
        <v>78</v>
      </c>
      <c r="N872">
        <v>72</v>
      </c>
    </row>
    <row r="873" spans="1:14">
      <c r="A873" s="13" t="s">
        <v>1498</v>
      </c>
      <c r="B873" s="14" t="s">
        <v>1499</v>
      </c>
      <c r="C873">
        <v>1</v>
      </c>
      <c r="D873">
        <v>1987</v>
      </c>
      <c r="E873">
        <v>1</v>
      </c>
      <c r="F873">
        <v>1</v>
      </c>
      <c r="G873">
        <v>41231</v>
      </c>
      <c r="H873">
        <v>1</v>
      </c>
      <c r="I873">
        <v>1553497987</v>
      </c>
      <c r="J873">
        <v>228</v>
      </c>
      <c r="K873">
        <v>151</v>
      </c>
      <c r="L873">
        <v>125</v>
      </c>
      <c r="M873">
        <v>45</v>
      </c>
      <c r="N873">
        <v>90</v>
      </c>
    </row>
    <row r="874" spans="1:14">
      <c r="A874" s="11" t="s">
        <v>1500</v>
      </c>
      <c r="B874" s="12" t="s">
        <v>1501</v>
      </c>
      <c r="C874">
        <v>1</v>
      </c>
      <c r="D874">
        <v>2022</v>
      </c>
      <c r="E874">
        <v>5</v>
      </c>
      <c r="F874">
        <v>12</v>
      </c>
      <c r="G874">
        <v>4526</v>
      </c>
      <c r="H874">
        <v>12</v>
      </c>
      <c r="I874">
        <v>293466523</v>
      </c>
      <c r="J874">
        <v>156</v>
      </c>
      <c r="K874">
        <v>275</v>
      </c>
      <c r="L874">
        <v>88</v>
      </c>
      <c r="M874">
        <v>80</v>
      </c>
      <c r="N874">
        <v>56</v>
      </c>
    </row>
    <row r="875" spans="1:14">
      <c r="A875" s="13" t="s">
        <v>355</v>
      </c>
      <c r="B875" s="14" t="s">
        <v>356</v>
      </c>
      <c r="C875">
        <v>1</v>
      </c>
      <c r="D875">
        <v>2022</v>
      </c>
      <c r="E875">
        <v>3</v>
      </c>
      <c r="F875">
        <v>19</v>
      </c>
      <c r="G875">
        <v>1818</v>
      </c>
      <c r="H875">
        <v>0</v>
      </c>
      <c r="I875">
        <v>711366595</v>
      </c>
      <c r="J875">
        <v>3</v>
      </c>
      <c r="K875">
        <v>0</v>
      </c>
      <c r="L875">
        <v>170</v>
      </c>
      <c r="M875">
        <v>56</v>
      </c>
      <c r="N875">
        <v>64</v>
      </c>
    </row>
    <row r="876" spans="1:14">
      <c r="A876" s="11" t="s">
        <v>1502</v>
      </c>
      <c r="B876" s="12" t="s">
        <v>458</v>
      </c>
      <c r="C876">
        <v>1</v>
      </c>
      <c r="D876">
        <v>2022</v>
      </c>
      <c r="E876">
        <v>6</v>
      </c>
      <c r="F876">
        <v>17</v>
      </c>
      <c r="G876">
        <v>2814</v>
      </c>
      <c r="H876">
        <v>0</v>
      </c>
      <c r="I876">
        <v>191448892</v>
      </c>
      <c r="J876">
        <v>38</v>
      </c>
      <c r="K876">
        <v>105</v>
      </c>
      <c r="L876">
        <v>137</v>
      </c>
      <c r="M876">
        <v>88</v>
      </c>
      <c r="N876">
        <v>49</v>
      </c>
    </row>
    <row r="877" spans="1:14">
      <c r="A877" s="13" t="s">
        <v>1503</v>
      </c>
      <c r="B877" s="14" t="s">
        <v>1504</v>
      </c>
      <c r="C877">
        <v>3</v>
      </c>
      <c r="D877">
        <v>2022</v>
      </c>
      <c r="E877">
        <v>7</v>
      </c>
      <c r="F877">
        <v>1</v>
      </c>
      <c r="G877">
        <v>1601</v>
      </c>
      <c r="H877">
        <v>0</v>
      </c>
      <c r="I877">
        <v>85924992</v>
      </c>
      <c r="J877">
        <v>11</v>
      </c>
      <c r="K877">
        <v>0</v>
      </c>
      <c r="L877">
        <v>157</v>
      </c>
      <c r="M877">
        <v>88</v>
      </c>
      <c r="N877">
        <v>69</v>
      </c>
    </row>
    <row r="878" spans="1:14">
      <c r="A878" s="11" t="s">
        <v>1505</v>
      </c>
      <c r="B878" s="12" t="s">
        <v>1506</v>
      </c>
      <c r="C878">
        <v>3</v>
      </c>
      <c r="D878">
        <v>2022</v>
      </c>
      <c r="E878">
        <v>6</v>
      </c>
      <c r="F878">
        <v>3</v>
      </c>
      <c r="G878">
        <v>894</v>
      </c>
      <c r="H878">
        <v>4</v>
      </c>
      <c r="I878">
        <v>176103902</v>
      </c>
      <c r="J878">
        <v>28</v>
      </c>
      <c r="K878">
        <v>0</v>
      </c>
      <c r="L878">
        <v>130</v>
      </c>
      <c r="M878">
        <v>95</v>
      </c>
      <c r="N878">
        <v>57</v>
      </c>
    </row>
    <row r="879" spans="1:14">
      <c r="A879" s="13" t="s">
        <v>1507</v>
      </c>
      <c r="B879" s="14" t="s">
        <v>1508</v>
      </c>
      <c r="C879">
        <v>3</v>
      </c>
      <c r="D879">
        <v>2022</v>
      </c>
      <c r="E879">
        <v>7</v>
      </c>
      <c r="F879">
        <v>6</v>
      </c>
      <c r="G879">
        <v>945</v>
      </c>
      <c r="H879">
        <v>0</v>
      </c>
      <c r="I879">
        <v>121189256</v>
      </c>
      <c r="J879">
        <v>49</v>
      </c>
      <c r="K879">
        <v>3</v>
      </c>
      <c r="L879">
        <v>90</v>
      </c>
      <c r="M879">
        <v>85</v>
      </c>
      <c r="N879">
        <v>83</v>
      </c>
    </row>
    <row r="880" spans="1:14">
      <c r="A880" s="11" t="s">
        <v>1509</v>
      </c>
      <c r="B880" s="12" t="s">
        <v>1510</v>
      </c>
      <c r="C880">
        <v>1</v>
      </c>
      <c r="D880">
        <v>2022</v>
      </c>
      <c r="E880">
        <v>6</v>
      </c>
      <c r="F880">
        <v>24</v>
      </c>
      <c r="G880">
        <v>767</v>
      </c>
      <c r="H880">
        <v>0</v>
      </c>
      <c r="I880">
        <v>131746175</v>
      </c>
      <c r="J880">
        <v>25</v>
      </c>
      <c r="K880">
        <v>0</v>
      </c>
      <c r="L880">
        <v>183</v>
      </c>
      <c r="M880">
        <v>44</v>
      </c>
      <c r="N880">
        <v>67</v>
      </c>
    </row>
    <row r="881" spans="1:14">
      <c r="A881" s="13" t="s">
        <v>1511</v>
      </c>
      <c r="B881" s="14" t="s">
        <v>1512</v>
      </c>
      <c r="C881">
        <v>1</v>
      </c>
      <c r="D881">
        <v>2022</v>
      </c>
      <c r="E881">
        <v>5</v>
      </c>
      <c r="F881">
        <v>2</v>
      </c>
      <c r="G881">
        <v>5898</v>
      </c>
      <c r="H881">
        <v>5</v>
      </c>
      <c r="I881">
        <v>244790012</v>
      </c>
      <c r="J881">
        <v>129</v>
      </c>
      <c r="K881">
        <v>55</v>
      </c>
      <c r="L881">
        <v>128</v>
      </c>
      <c r="M881">
        <v>58</v>
      </c>
      <c r="N881">
        <v>91</v>
      </c>
    </row>
    <row r="882" spans="1:14">
      <c r="A882" s="11" t="s">
        <v>1513</v>
      </c>
      <c r="B882" s="12" t="s">
        <v>1514</v>
      </c>
      <c r="C882">
        <v>3</v>
      </c>
      <c r="D882">
        <v>2022</v>
      </c>
      <c r="E882">
        <v>6</v>
      </c>
      <c r="F882">
        <v>10</v>
      </c>
      <c r="G882">
        <v>685</v>
      </c>
      <c r="H882">
        <v>2</v>
      </c>
      <c r="I882">
        <v>129314708</v>
      </c>
      <c r="J882">
        <v>17</v>
      </c>
      <c r="K882">
        <v>0</v>
      </c>
      <c r="L882">
        <v>130</v>
      </c>
      <c r="M882">
        <v>71</v>
      </c>
      <c r="N882">
        <v>40</v>
      </c>
    </row>
    <row r="883" spans="1:14">
      <c r="A883" s="13" t="s">
        <v>1515</v>
      </c>
      <c r="B883" s="14" t="s">
        <v>1516</v>
      </c>
      <c r="C883">
        <v>1</v>
      </c>
      <c r="D883">
        <v>2022</v>
      </c>
      <c r="E883">
        <v>8</v>
      </c>
      <c r="F883">
        <v>4</v>
      </c>
      <c r="G883">
        <v>1452</v>
      </c>
      <c r="H883">
        <v>35</v>
      </c>
      <c r="I883">
        <v>331511413</v>
      </c>
      <c r="J883">
        <v>16</v>
      </c>
      <c r="K883">
        <v>15</v>
      </c>
      <c r="L883">
        <v>126</v>
      </c>
      <c r="M883">
        <v>63</v>
      </c>
      <c r="N883">
        <v>43</v>
      </c>
    </row>
    <row r="884" spans="1:14">
      <c r="A884" s="11" t="s">
        <v>1517</v>
      </c>
      <c r="B884" s="12" t="s">
        <v>1518</v>
      </c>
      <c r="C884">
        <v>3</v>
      </c>
      <c r="D884">
        <v>2022</v>
      </c>
      <c r="E884">
        <v>8</v>
      </c>
      <c r="F884">
        <v>5</v>
      </c>
      <c r="G884">
        <v>1456</v>
      </c>
      <c r="H884">
        <v>0</v>
      </c>
      <c r="I884">
        <v>219196651</v>
      </c>
      <c r="J884">
        <v>53</v>
      </c>
      <c r="K884">
        <v>2</v>
      </c>
      <c r="L884">
        <v>120</v>
      </c>
      <c r="M884">
        <v>77</v>
      </c>
      <c r="N884">
        <v>87</v>
      </c>
    </row>
    <row r="885" spans="1:14">
      <c r="A885" s="13" t="s">
        <v>1519</v>
      </c>
      <c r="B885" s="14" t="s">
        <v>1520</v>
      </c>
      <c r="C885">
        <v>3</v>
      </c>
      <c r="D885">
        <v>2022</v>
      </c>
      <c r="E885">
        <v>8</v>
      </c>
      <c r="F885">
        <v>5</v>
      </c>
      <c r="G885">
        <v>2107</v>
      </c>
      <c r="H885">
        <v>0</v>
      </c>
      <c r="I885">
        <v>170732845</v>
      </c>
      <c r="J885">
        <v>51</v>
      </c>
      <c r="K885">
        <v>1</v>
      </c>
      <c r="L885">
        <v>130</v>
      </c>
      <c r="M885">
        <v>72</v>
      </c>
      <c r="N885">
        <v>46</v>
      </c>
    </row>
    <row r="886" spans="1:14">
      <c r="A886" s="11" t="s">
        <v>1521</v>
      </c>
      <c r="B886" s="12" t="s">
        <v>1522</v>
      </c>
      <c r="C886">
        <v>1</v>
      </c>
      <c r="D886">
        <v>2020</v>
      </c>
      <c r="E886">
        <v>12</v>
      </c>
      <c r="F886">
        <v>18</v>
      </c>
      <c r="G886">
        <v>1494</v>
      </c>
      <c r="H886">
        <v>2</v>
      </c>
      <c r="I886">
        <v>273914335</v>
      </c>
      <c r="J886">
        <v>17</v>
      </c>
      <c r="K886">
        <v>12</v>
      </c>
      <c r="L886">
        <v>122</v>
      </c>
      <c r="M886">
        <v>70</v>
      </c>
      <c r="N886">
        <v>76</v>
      </c>
    </row>
    <row r="887" spans="1:14">
      <c r="A887" s="13" t="s">
        <v>1523</v>
      </c>
      <c r="B887" s="14" t="s">
        <v>269</v>
      </c>
      <c r="C887">
        <v>1</v>
      </c>
      <c r="D887">
        <v>2022</v>
      </c>
      <c r="E887">
        <v>8</v>
      </c>
      <c r="F887">
        <v>5</v>
      </c>
      <c r="G887">
        <v>1379</v>
      </c>
      <c r="H887">
        <v>4</v>
      </c>
      <c r="I887">
        <v>179061440</v>
      </c>
      <c r="J887">
        <v>23</v>
      </c>
      <c r="K887">
        <v>10</v>
      </c>
      <c r="L887">
        <v>172</v>
      </c>
      <c r="M887">
        <v>74</v>
      </c>
      <c r="N887">
        <v>58</v>
      </c>
    </row>
    <row r="888" spans="1:14">
      <c r="A888" s="11" t="s">
        <v>1524</v>
      </c>
      <c r="B888" s="12" t="s">
        <v>1475</v>
      </c>
      <c r="C888">
        <v>1</v>
      </c>
      <c r="D888">
        <v>2022</v>
      </c>
      <c r="E888">
        <v>7</v>
      </c>
      <c r="F888">
        <v>20</v>
      </c>
      <c r="G888">
        <v>625</v>
      </c>
      <c r="H888">
        <v>4</v>
      </c>
      <c r="I888">
        <v>185236961</v>
      </c>
      <c r="J888">
        <v>13</v>
      </c>
      <c r="K888">
        <v>18</v>
      </c>
      <c r="L888">
        <v>103</v>
      </c>
      <c r="M888">
        <v>61</v>
      </c>
      <c r="N888">
        <v>62</v>
      </c>
    </row>
    <row r="889" spans="1:14">
      <c r="A889" s="13" t="s">
        <v>1525</v>
      </c>
      <c r="B889" s="14" t="s">
        <v>451</v>
      </c>
      <c r="C889">
        <v>1</v>
      </c>
      <c r="D889">
        <v>2022</v>
      </c>
      <c r="E889">
        <v>7</v>
      </c>
      <c r="F889">
        <v>29</v>
      </c>
      <c r="G889">
        <v>2688</v>
      </c>
      <c r="H889">
        <v>0</v>
      </c>
      <c r="I889">
        <v>171788484</v>
      </c>
      <c r="J889">
        <v>39</v>
      </c>
      <c r="K889">
        <v>47</v>
      </c>
      <c r="L889">
        <v>122</v>
      </c>
      <c r="M889">
        <v>55</v>
      </c>
      <c r="N889">
        <v>64</v>
      </c>
    </row>
    <row r="890" spans="1:14">
      <c r="A890" s="11" t="s">
        <v>1526</v>
      </c>
      <c r="B890" s="12" t="s">
        <v>323</v>
      </c>
      <c r="C890">
        <v>1</v>
      </c>
      <c r="D890">
        <v>2019</v>
      </c>
      <c r="E890">
        <v>9</v>
      </c>
      <c r="F890">
        <v>13</v>
      </c>
      <c r="G890">
        <v>2668</v>
      </c>
      <c r="H890">
        <v>2</v>
      </c>
      <c r="I890">
        <v>387080183</v>
      </c>
      <c r="J890">
        <v>38</v>
      </c>
      <c r="K890">
        <v>266</v>
      </c>
      <c r="L890">
        <v>130</v>
      </c>
      <c r="M890">
        <v>47</v>
      </c>
      <c r="N890">
        <v>90</v>
      </c>
    </row>
    <row r="891" spans="1:14">
      <c r="A891" s="13" t="s">
        <v>1527</v>
      </c>
      <c r="B891" s="14" t="s">
        <v>60</v>
      </c>
      <c r="C891">
        <v>1</v>
      </c>
      <c r="D891">
        <v>2022</v>
      </c>
      <c r="E891">
        <v>8</v>
      </c>
      <c r="F891">
        <v>1</v>
      </c>
      <c r="G891">
        <v>799</v>
      </c>
      <c r="H891">
        <v>12</v>
      </c>
      <c r="I891">
        <v>264717480</v>
      </c>
      <c r="J891">
        <v>14</v>
      </c>
      <c r="K891">
        <v>141</v>
      </c>
      <c r="L891">
        <v>105</v>
      </c>
      <c r="M891">
        <v>81</v>
      </c>
      <c r="N891">
        <v>65</v>
      </c>
    </row>
    <row r="892" spans="1:14">
      <c r="A892" s="11" t="s">
        <v>1528</v>
      </c>
      <c r="B892" s="12" t="s">
        <v>1529</v>
      </c>
      <c r="C892">
        <v>1</v>
      </c>
      <c r="D892">
        <v>2022</v>
      </c>
      <c r="E892">
        <v>3</v>
      </c>
      <c r="F892">
        <v>11</v>
      </c>
      <c r="G892">
        <v>1189</v>
      </c>
      <c r="H892">
        <v>6</v>
      </c>
      <c r="I892">
        <v>244928911</v>
      </c>
      <c r="J892">
        <v>17</v>
      </c>
      <c r="K892">
        <v>10</v>
      </c>
      <c r="L892">
        <v>120</v>
      </c>
      <c r="M892">
        <v>90</v>
      </c>
      <c r="N892">
        <v>51</v>
      </c>
    </row>
    <row r="893" spans="1:14">
      <c r="A893" s="13" t="s">
        <v>1530</v>
      </c>
      <c r="B893" s="14" t="s">
        <v>1531</v>
      </c>
      <c r="C893">
        <v>1</v>
      </c>
      <c r="D893">
        <v>2022</v>
      </c>
      <c r="E893">
        <v>7</v>
      </c>
      <c r="F893">
        <v>12</v>
      </c>
      <c r="G893">
        <v>367</v>
      </c>
      <c r="H893">
        <v>0</v>
      </c>
      <c r="I893">
        <v>97610446</v>
      </c>
      <c r="J893">
        <v>28</v>
      </c>
      <c r="K893">
        <v>67</v>
      </c>
      <c r="L893">
        <v>145</v>
      </c>
      <c r="M893">
        <v>56</v>
      </c>
      <c r="N893">
        <v>53</v>
      </c>
    </row>
    <row r="894" spans="1:14">
      <c r="A894" s="11" t="s">
        <v>1532</v>
      </c>
      <c r="B894" s="12" t="s">
        <v>1533</v>
      </c>
      <c r="C894">
        <v>2</v>
      </c>
      <c r="D894">
        <v>2022</v>
      </c>
      <c r="E894">
        <v>7</v>
      </c>
      <c r="F894">
        <v>22</v>
      </c>
      <c r="G894">
        <v>527</v>
      </c>
      <c r="H894">
        <v>4</v>
      </c>
      <c r="I894">
        <v>287278853</v>
      </c>
      <c r="J894">
        <v>10</v>
      </c>
      <c r="K894">
        <v>43</v>
      </c>
      <c r="L894">
        <v>99</v>
      </c>
      <c r="M894">
        <v>79</v>
      </c>
      <c r="N894">
        <v>59</v>
      </c>
    </row>
    <row r="895" spans="1:14">
      <c r="A895" s="13" t="s">
        <v>1534</v>
      </c>
      <c r="B895" s="14" t="s">
        <v>1049</v>
      </c>
      <c r="C895">
        <v>1</v>
      </c>
      <c r="D895">
        <v>2008</v>
      </c>
      <c r="E895">
        <v>1</v>
      </c>
      <c r="F895">
        <v>1</v>
      </c>
      <c r="G895">
        <v>17504</v>
      </c>
      <c r="H895">
        <v>34</v>
      </c>
      <c r="I895">
        <v>887906111</v>
      </c>
      <c r="J895">
        <v>63</v>
      </c>
      <c r="K895">
        <v>39</v>
      </c>
      <c r="L895">
        <v>88</v>
      </c>
      <c r="M895">
        <v>79</v>
      </c>
      <c r="N895">
        <v>65</v>
      </c>
    </row>
    <row r="896" spans="1:14">
      <c r="A896" s="11" t="s">
        <v>1535</v>
      </c>
      <c r="B896" s="12" t="s">
        <v>1536</v>
      </c>
      <c r="C896">
        <v>4</v>
      </c>
      <c r="D896">
        <v>2022</v>
      </c>
      <c r="E896">
        <v>7</v>
      </c>
      <c r="F896">
        <v>15</v>
      </c>
      <c r="G896">
        <v>3113</v>
      </c>
      <c r="H896">
        <v>0</v>
      </c>
      <c r="I896">
        <v>123473120</v>
      </c>
      <c r="J896">
        <v>54</v>
      </c>
      <c r="K896">
        <v>6</v>
      </c>
      <c r="L896">
        <v>126</v>
      </c>
      <c r="M896">
        <v>81</v>
      </c>
      <c r="N896">
        <v>73</v>
      </c>
    </row>
    <row r="897" spans="1:14">
      <c r="A897" s="13" t="s">
        <v>1537</v>
      </c>
      <c r="B897" s="14" t="s">
        <v>1538</v>
      </c>
      <c r="C897">
        <v>2</v>
      </c>
      <c r="D897">
        <v>2022</v>
      </c>
      <c r="E897">
        <v>8</v>
      </c>
      <c r="F897">
        <v>15</v>
      </c>
      <c r="G897">
        <v>685</v>
      </c>
      <c r="H897">
        <v>5</v>
      </c>
      <c r="I897">
        <v>295152154</v>
      </c>
      <c r="J897">
        <v>15</v>
      </c>
      <c r="K897">
        <v>79</v>
      </c>
      <c r="L897">
        <v>136</v>
      </c>
      <c r="M897">
        <v>77</v>
      </c>
      <c r="N897">
        <v>75</v>
      </c>
    </row>
    <row r="898" spans="1:14">
      <c r="A898" s="11" t="s">
        <v>1539</v>
      </c>
      <c r="B898" s="12" t="s">
        <v>1540</v>
      </c>
      <c r="C898">
        <v>2</v>
      </c>
      <c r="D898">
        <v>2022</v>
      </c>
      <c r="E898">
        <v>2</v>
      </c>
      <c r="F898">
        <v>18</v>
      </c>
      <c r="G898">
        <v>782</v>
      </c>
      <c r="H898">
        <v>9</v>
      </c>
      <c r="I898">
        <v>323455692</v>
      </c>
      <c r="J898">
        <v>15</v>
      </c>
      <c r="K898">
        <v>33</v>
      </c>
      <c r="L898">
        <v>113</v>
      </c>
      <c r="M898">
        <v>70</v>
      </c>
      <c r="N898">
        <v>59</v>
      </c>
    </row>
    <row r="899" spans="1:14">
      <c r="A899" s="13" t="s">
        <v>1541</v>
      </c>
      <c r="B899" s="14" t="s">
        <v>1542</v>
      </c>
      <c r="C899">
        <v>3</v>
      </c>
      <c r="D899">
        <v>2022</v>
      </c>
      <c r="E899">
        <v>6</v>
      </c>
      <c r="F899">
        <v>16</v>
      </c>
      <c r="G899">
        <v>2442</v>
      </c>
      <c r="H899">
        <v>0</v>
      </c>
      <c r="I899">
        <v>240918092</v>
      </c>
      <c r="J899">
        <v>81</v>
      </c>
      <c r="K899">
        <v>4</v>
      </c>
      <c r="L899">
        <v>132</v>
      </c>
      <c r="M899">
        <v>82</v>
      </c>
      <c r="N899">
        <v>88</v>
      </c>
    </row>
    <row r="900" spans="1:14">
      <c r="A900" s="11" t="s">
        <v>1543</v>
      </c>
      <c r="B900" s="12" t="s">
        <v>1544</v>
      </c>
      <c r="C900">
        <v>3</v>
      </c>
      <c r="D900">
        <v>2022</v>
      </c>
      <c r="E900">
        <v>5</v>
      </c>
      <c r="F900">
        <v>20</v>
      </c>
      <c r="G900">
        <v>1112</v>
      </c>
      <c r="H900">
        <v>4</v>
      </c>
      <c r="I900">
        <v>191873381</v>
      </c>
      <c r="J900">
        <v>22</v>
      </c>
      <c r="K900">
        <v>2</v>
      </c>
      <c r="L900">
        <v>135</v>
      </c>
      <c r="M900">
        <v>77</v>
      </c>
      <c r="N900">
        <v>74</v>
      </c>
    </row>
    <row r="901" spans="1:14">
      <c r="A901" s="13" t="s">
        <v>1545</v>
      </c>
      <c r="B901" s="14" t="s">
        <v>1546</v>
      </c>
      <c r="C901">
        <v>2</v>
      </c>
      <c r="D901">
        <v>2017</v>
      </c>
      <c r="E901">
        <v>11</v>
      </c>
      <c r="F901">
        <v>10</v>
      </c>
      <c r="G901">
        <v>4967</v>
      </c>
      <c r="H901">
        <v>0</v>
      </c>
      <c r="I901">
        <v>284216603</v>
      </c>
      <c r="J901">
        <v>165</v>
      </c>
      <c r="K901">
        <v>10</v>
      </c>
      <c r="L901">
        <v>126</v>
      </c>
      <c r="M901">
        <v>67</v>
      </c>
      <c r="N901">
        <v>77</v>
      </c>
    </row>
    <row r="902" spans="1:14">
      <c r="A902" s="11" t="s">
        <v>1547</v>
      </c>
      <c r="B902" s="12" t="s">
        <v>200</v>
      </c>
      <c r="C902">
        <v>1</v>
      </c>
      <c r="D902">
        <v>2022</v>
      </c>
      <c r="E902">
        <v>9</v>
      </c>
      <c r="F902">
        <v>9</v>
      </c>
      <c r="G902">
        <v>2520</v>
      </c>
      <c r="H902">
        <v>4</v>
      </c>
      <c r="I902">
        <v>239411309</v>
      </c>
      <c r="J902">
        <v>93</v>
      </c>
      <c r="K902">
        <v>95</v>
      </c>
      <c r="L902">
        <v>102</v>
      </c>
      <c r="M902">
        <v>67</v>
      </c>
      <c r="N902">
        <v>74</v>
      </c>
    </row>
    <row r="903" spans="1:14">
      <c r="A903" s="13" t="s">
        <v>1548</v>
      </c>
      <c r="B903" s="14" t="s">
        <v>508</v>
      </c>
      <c r="C903">
        <v>1</v>
      </c>
      <c r="D903">
        <v>2022</v>
      </c>
      <c r="E903">
        <v>8</v>
      </c>
      <c r="F903">
        <v>22</v>
      </c>
      <c r="G903">
        <v>767</v>
      </c>
      <c r="H903">
        <v>12</v>
      </c>
      <c r="I903">
        <v>265548837</v>
      </c>
      <c r="J903">
        <v>20</v>
      </c>
      <c r="K903">
        <v>129</v>
      </c>
      <c r="L903">
        <v>125</v>
      </c>
      <c r="M903">
        <v>68</v>
      </c>
      <c r="N903">
        <v>92</v>
      </c>
    </row>
    <row r="904" spans="1:14">
      <c r="A904" s="11" t="s">
        <v>1549</v>
      </c>
      <c r="B904" s="12" t="s">
        <v>1049</v>
      </c>
      <c r="C904">
        <v>1</v>
      </c>
      <c r="D904">
        <v>2013</v>
      </c>
      <c r="E904">
        <v>1</v>
      </c>
      <c r="F904">
        <v>1</v>
      </c>
      <c r="G904">
        <v>19806</v>
      </c>
      <c r="H904">
        <v>7</v>
      </c>
      <c r="I904">
        <v>703301727</v>
      </c>
      <c r="J904">
        <v>33</v>
      </c>
      <c r="K904">
        <v>11</v>
      </c>
      <c r="L904">
        <v>149</v>
      </c>
      <c r="M904">
        <v>37</v>
      </c>
      <c r="N904">
        <v>66</v>
      </c>
    </row>
    <row r="905" spans="1:14">
      <c r="A905" s="13" t="s">
        <v>1550</v>
      </c>
      <c r="B905" s="14" t="s">
        <v>1551</v>
      </c>
      <c r="C905">
        <v>2</v>
      </c>
      <c r="D905">
        <v>2022</v>
      </c>
      <c r="E905">
        <v>6</v>
      </c>
      <c r="F905">
        <v>15</v>
      </c>
      <c r="G905">
        <v>5153</v>
      </c>
      <c r="H905">
        <v>6</v>
      </c>
      <c r="I905">
        <v>244585109</v>
      </c>
      <c r="J905">
        <v>102</v>
      </c>
      <c r="K905">
        <v>53</v>
      </c>
      <c r="L905">
        <v>137</v>
      </c>
      <c r="M905">
        <v>74</v>
      </c>
      <c r="N905">
        <v>89</v>
      </c>
    </row>
    <row r="906" spans="1:14">
      <c r="A906" s="11" t="s">
        <v>1552</v>
      </c>
      <c r="B906" s="12" t="s">
        <v>1069</v>
      </c>
      <c r="C906">
        <v>1</v>
      </c>
      <c r="D906">
        <v>2022</v>
      </c>
      <c r="E906">
        <v>8</v>
      </c>
      <c r="F906">
        <v>26</v>
      </c>
      <c r="G906">
        <v>615</v>
      </c>
      <c r="H906">
        <v>0</v>
      </c>
      <c r="I906">
        <v>189476119</v>
      </c>
      <c r="J906">
        <v>14</v>
      </c>
      <c r="K906">
        <v>77</v>
      </c>
      <c r="L906">
        <v>120</v>
      </c>
      <c r="M906">
        <v>77</v>
      </c>
      <c r="N906">
        <v>91</v>
      </c>
    </row>
    <row r="907" spans="1:14">
      <c r="A907" s="13" t="s">
        <v>1553</v>
      </c>
      <c r="B907" s="14" t="s">
        <v>1554</v>
      </c>
      <c r="C907">
        <v>1</v>
      </c>
      <c r="D907">
        <v>2022</v>
      </c>
      <c r="E907">
        <v>1</v>
      </c>
      <c r="F907">
        <v>20</v>
      </c>
      <c r="G907">
        <v>2537</v>
      </c>
      <c r="H907">
        <v>0</v>
      </c>
      <c r="I907">
        <v>277132266</v>
      </c>
      <c r="J907">
        <v>49</v>
      </c>
      <c r="K907">
        <v>1</v>
      </c>
      <c r="L907">
        <v>100</v>
      </c>
      <c r="M907">
        <v>90</v>
      </c>
      <c r="N907">
        <v>50</v>
      </c>
    </row>
    <row r="908" spans="1:14">
      <c r="A908" s="11" t="s">
        <v>1555</v>
      </c>
      <c r="B908" s="12" t="s">
        <v>269</v>
      </c>
      <c r="C908">
        <v>1</v>
      </c>
      <c r="D908">
        <v>2022</v>
      </c>
      <c r="E908">
        <v>6</v>
      </c>
      <c r="F908">
        <v>3</v>
      </c>
      <c r="G908">
        <v>1647</v>
      </c>
      <c r="H908">
        <v>30</v>
      </c>
      <c r="I908">
        <v>278920007</v>
      </c>
      <c r="J908">
        <v>20</v>
      </c>
      <c r="K908">
        <v>49</v>
      </c>
      <c r="L908">
        <v>164</v>
      </c>
      <c r="M908">
        <v>70</v>
      </c>
      <c r="N908">
        <v>57</v>
      </c>
    </row>
    <row r="909" spans="1:14">
      <c r="A909" s="13" t="s">
        <v>1556</v>
      </c>
      <c r="B909" s="14" t="s">
        <v>1557</v>
      </c>
      <c r="C909">
        <v>1</v>
      </c>
      <c r="D909">
        <v>2022</v>
      </c>
      <c r="E909">
        <v>6</v>
      </c>
      <c r="F909">
        <v>10</v>
      </c>
      <c r="G909">
        <v>2019</v>
      </c>
      <c r="H909">
        <v>8</v>
      </c>
      <c r="I909">
        <v>222410722</v>
      </c>
      <c r="J909">
        <v>117</v>
      </c>
      <c r="K909">
        <v>72</v>
      </c>
      <c r="L909">
        <v>93</v>
      </c>
      <c r="M909">
        <v>65</v>
      </c>
      <c r="N909">
        <v>66</v>
      </c>
    </row>
    <row r="910" spans="1:14">
      <c r="A910" s="11" t="s">
        <v>1558</v>
      </c>
      <c r="B910" s="12" t="s">
        <v>269</v>
      </c>
      <c r="C910">
        <v>1</v>
      </c>
      <c r="D910">
        <v>2022</v>
      </c>
      <c r="E910">
        <v>9</v>
      </c>
      <c r="F910">
        <v>13</v>
      </c>
      <c r="G910">
        <v>1473</v>
      </c>
      <c r="H910">
        <v>12</v>
      </c>
      <c r="I910">
        <v>185392587</v>
      </c>
      <c r="J910">
        <v>25</v>
      </c>
      <c r="K910">
        <v>36</v>
      </c>
      <c r="L910">
        <v>180</v>
      </c>
      <c r="M910">
        <v>65</v>
      </c>
      <c r="N910">
        <v>80</v>
      </c>
    </row>
    <row r="911" spans="1:14">
      <c r="A911" s="13" t="s">
        <v>1559</v>
      </c>
      <c r="B911" s="14" t="s">
        <v>449</v>
      </c>
      <c r="C911">
        <v>1</v>
      </c>
      <c r="D911">
        <v>2022</v>
      </c>
      <c r="E911">
        <v>7</v>
      </c>
      <c r="F911">
        <v>15</v>
      </c>
      <c r="G911">
        <v>1613</v>
      </c>
      <c r="H911">
        <v>0</v>
      </c>
      <c r="I911">
        <v>202452860</v>
      </c>
      <c r="J911">
        <v>21</v>
      </c>
      <c r="K911">
        <v>15</v>
      </c>
      <c r="L911">
        <v>79</v>
      </c>
      <c r="M911">
        <v>34</v>
      </c>
      <c r="N911">
        <v>31</v>
      </c>
    </row>
    <row r="912" spans="1:14">
      <c r="A912" s="11" t="s">
        <v>1560</v>
      </c>
      <c r="B912" s="12" t="s">
        <v>179</v>
      </c>
      <c r="C912">
        <v>1</v>
      </c>
      <c r="D912">
        <v>2002</v>
      </c>
      <c r="E912">
        <v>8</v>
      </c>
      <c r="F912">
        <v>5</v>
      </c>
      <c r="G912">
        <v>30992</v>
      </c>
      <c r="H912">
        <v>6</v>
      </c>
      <c r="I912">
        <v>1608164312</v>
      </c>
      <c r="J912">
        <v>124</v>
      </c>
      <c r="K912">
        <v>25</v>
      </c>
      <c r="L912">
        <v>146</v>
      </c>
      <c r="M912">
        <v>56</v>
      </c>
      <c r="N912">
        <v>44</v>
      </c>
    </row>
    <row r="913" spans="1:14">
      <c r="A913" s="13" t="s">
        <v>1561</v>
      </c>
      <c r="B913" s="14" t="s">
        <v>179</v>
      </c>
      <c r="C913">
        <v>1</v>
      </c>
      <c r="D913">
        <v>2000</v>
      </c>
      <c r="E913">
        <v>7</v>
      </c>
      <c r="F913">
        <v>10</v>
      </c>
      <c r="G913">
        <v>10826</v>
      </c>
      <c r="H913">
        <v>4</v>
      </c>
      <c r="I913">
        <v>624101957</v>
      </c>
      <c r="J913">
        <v>24</v>
      </c>
      <c r="K913">
        <v>0</v>
      </c>
      <c r="L913">
        <v>103</v>
      </c>
      <c r="M913">
        <v>37</v>
      </c>
      <c r="N913">
        <v>27</v>
      </c>
    </row>
    <row r="914" spans="1:14">
      <c r="A914" s="11" t="s">
        <v>1562</v>
      </c>
      <c r="B914" s="12" t="s">
        <v>1272</v>
      </c>
      <c r="C914">
        <v>1</v>
      </c>
      <c r="D914">
        <v>2022</v>
      </c>
      <c r="E914">
        <v>9</v>
      </c>
      <c r="F914">
        <v>2</v>
      </c>
      <c r="G914">
        <v>920</v>
      </c>
      <c r="H914">
        <v>0</v>
      </c>
      <c r="I914">
        <v>148461629</v>
      </c>
      <c r="J914">
        <v>10</v>
      </c>
      <c r="K914">
        <v>1</v>
      </c>
      <c r="L914">
        <v>140</v>
      </c>
      <c r="M914">
        <v>70</v>
      </c>
      <c r="N914">
        <v>76</v>
      </c>
    </row>
    <row r="915" spans="1:14">
      <c r="A915" s="13" t="s">
        <v>1563</v>
      </c>
      <c r="B915" s="14" t="s">
        <v>185</v>
      </c>
      <c r="C915">
        <v>2</v>
      </c>
      <c r="D915">
        <v>2022</v>
      </c>
      <c r="E915">
        <v>9</v>
      </c>
      <c r="F915">
        <v>13</v>
      </c>
      <c r="G915">
        <v>308</v>
      </c>
      <c r="H915">
        <v>0</v>
      </c>
      <c r="I915">
        <v>47093942</v>
      </c>
      <c r="J915">
        <v>6</v>
      </c>
      <c r="K915">
        <v>1</v>
      </c>
      <c r="L915">
        <v>92</v>
      </c>
      <c r="M915">
        <v>81</v>
      </c>
      <c r="N915">
        <v>70</v>
      </c>
    </row>
    <row r="916" spans="1:14">
      <c r="A916" s="11" t="s">
        <v>1564</v>
      </c>
      <c r="B916" s="12" t="s">
        <v>1565</v>
      </c>
      <c r="C916">
        <v>1</v>
      </c>
      <c r="D916">
        <v>2016</v>
      </c>
      <c r="E916">
        <v>6</v>
      </c>
      <c r="F916">
        <v>23</v>
      </c>
      <c r="G916">
        <v>2468</v>
      </c>
      <c r="H916">
        <v>0</v>
      </c>
      <c r="I916">
        <v>380319238</v>
      </c>
      <c r="J916">
        <v>15</v>
      </c>
      <c r="K916">
        <v>0</v>
      </c>
      <c r="L916">
        <v>102</v>
      </c>
      <c r="M916">
        <v>64</v>
      </c>
      <c r="N916">
        <v>60</v>
      </c>
    </row>
    <row r="917" spans="1:14">
      <c r="A917" s="13" t="s">
        <v>1566</v>
      </c>
      <c r="B917" s="14" t="s">
        <v>1567</v>
      </c>
      <c r="C917">
        <v>2</v>
      </c>
      <c r="D917">
        <v>2022</v>
      </c>
      <c r="E917">
        <v>7</v>
      </c>
      <c r="F917">
        <v>22</v>
      </c>
      <c r="G917">
        <v>1097</v>
      </c>
      <c r="H917">
        <v>2</v>
      </c>
      <c r="I917">
        <v>209106362</v>
      </c>
      <c r="J917">
        <v>18</v>
      </c>
      <c r="K917">
        <v>10</v>
      </c>
      <c r="L917">
        <v>118</v>
      </c>
      <c r="M917">
        <v>82</v>
      </c>
      <c r="N917">
        <v>85</v>
      </c>
    </row>
    <row r="918" spans="1:14">
      <c r="A918" s="11" t="s">
        <v>1568</v>
      </c>
      <c r="B918" s="12" t="s">
        <v>269</v>
      </c>
      <c r="C918">
        <v>1</v>
      </c>
      <c r="D918">
        <v>2022</v>
      </c>
      <c r="E918">
        <v>9</v>
      </c>
      <c r="F918">
        <v>13</v>
      </c>
      <c r="G918">
        <v>330</v>
      </c>
      <c r="H918">
        <v>0</v>
      </c>
      <c r="I918">
        <v>53987404</v>
      </c>
      <c r="J918">
        <v>3</v>
      </c>
      <c r="K918">
        <v>0</v>
      </c>
      <c r="L918">
        <v>93</v>
      </c>
      <c r="M918">
        <v>78</v>
      </c>
      <c r="N918">
        <v>62</v>
      </c>
    </row>
    <row r="919" spans="1:14">
      <c r="A919" s="13" t="s">
        <v>1569</v>
      </c>
      <c r="B919" s="14" t="s">
        <v>1570</v>
      </c>
      <c r="C919">
        <v>1</v>
      </c>
      <c r="D919">
        <v>2022</v>
      </c>
      <c r="E919">
        <v>6</v>
      </c>
      <c r="F919">
        <v>23</v>
      </c>
      <c r="G919">
        <v>1584</v>
      </c>
      <c r="H919">
        <v>0</v>
      </c>
      <c r="I919">
        <v>115331792</v>
      </c>
      <c r="J919">
        <v>38</v>
      </c>
      <c r="K919">
        <v>0</v>
      </c>
      <c r="L919">
        <v>150</v>
      </c>
      <c r="M919">
        <v>70</v>
      </c>
      <c r="N919">
        <v>56</v>
      </c>
    </row>
    <row r="920" spans="1:14">
      <c r="A920" s="11" t="s">
        <v>1571</v>
      </c>
      <c r="B920" s="12" t="s">
        <v>942</v>
      </c>
      <c r="C920">
        <v>1</v>
      </c>
      <c r="D920">
        <v>2022</v>
      </c>
      <c r="E920">
        <v>10</v>
      </c>
      <c r="F920">
        <v>7</v>
      </c>
      <c r="G920">
        <v>1585</v>
      </c>
      <c r="H920">
        <v>5</v>
      </c>
      <c r="I920">
        <v>225093344</v>
      </c>
      <c r="J920">
        <v>78</v>
      </c>
      <c r="K920">
        <v>65</v>
      </c>
      <c r="L920">
        <v>130</v>
      </c>
      <c r="M920">
        <v>52</v>
      </c>
      <c r="N920">
        <v>60</v>
      </c>
    </row>
    <row r="921" spans="1:14">
      <c r="A921" s="13" t="s">
        <v>1572</v>
      </c>
      <c r="B921" s="14" t="s">
        <v>1573</v>
      </c>
      <c r="C921">
        <v>2</v>
      </c>
      <c r="D921">
        <v>2022</v>
      </c>
      <c r="E921">
        <v>10</v>
      </c>
      <c r="F921">
        <v>14</v>
      </c>
      <c r="G921">
        <v>766</v>
      </c>
      <c r="H921">
        <v>0</v>
      </c>
      <c r="I921">
        <v>84697729</v>
      </c>
      <c r="J921">
        <v>16</v>
      </c>
      <c r="K921">
        <v>0</v>
      </c>
      <c r="L921">
        <v>83</v>
      </c>
      <c r="M921">
        <v>65</v>
      </c>
      <c r="N921">
        <v>53</v>
      </c>
    </row>
    <row r="922" spans="1:14">
      <c r="A922" s="11" t="s">
        <v>1574</v>
      </c>
      <c r="B922" s="12" t="s">
        <v>1575</v>
      </c>
      <c r="C922">
        <v>4</v>
      </c>
      <c r="D922">
        <v>2022</v>
      </c>
      <c r="E922">
        <v>8</v>
      </c>
      <c r="F922">
        <v>18</v>
      </c>
      <c r="G922">
        <v>836</v>
      </c>
      <c r="H922">
        <v>0</v>
      </c>
      <c r="I922">
        <v>159240673</v>
      </c>
      <c r="J922">
        <v>14</v>
      </c>
      <c r="K922">
        <v>1</v>
      </c>
      <c r="L922">
        <v>102</v>
      </c>
      <c r="M922">
        <v>84</v>
      </c>
      <c r="N922">
        <v>75</v>
      </c>
    </row>
    <row r="923" spans="1:14">
      <c r="A923" s="13" t="s">
        <v>1576</v>
      </c>
      <c r="B923" s="14" t="s">
        <v>277</v>
      </c>
      <c r="C923">
        <v>1</v>
      </c>
      <c r="D923">
        <v>2022</v>
      </c>
      <c r="E923">
        <v>10</v>
      </c>
      <c r="F923">
        <v>17</v>
      </c>
      <c r="G923">
        <v>430</v>
      </c>
      <c r="H923">
        <v>6</v>
      </c>
      <c r="I923">
        <v>170709584</v>
      </c>
      <c r="J923">
        <v>14</v>
      </c>
      <c r="K923">
        <v>116</v>
      </c>
      <c r="L923">
        <v>136</v>
      </c>
      <c r="M923">
        <v>73</v>
      </c>
      <c r="N923">
        <v>91</v>
      </c>
    </row>
    <row r="924" spans="1:14">
      <c r="A924" s="11" t="s">
        <v>627</v>
      </c>
      <c r="B924" s="12" t="s">
        <v>1577</v>
      </c>
      <c r="C924">
        <v>1</v>
      </c>
      <c r="D924">
        <v>1982</v>
      </c>
      <c r="E924">
        <v>5</v>
      </c>
      <c r="F924">
        <v>16</v>
      </c>
      <c r="G924">
        <v>2020</v>
      </c>
      <c r="H924">
        <v>0</v>
      </c>
      <c r="I924">
        <v>154356956</v>
      </c>
      <c r="J924">
        <v>77</v>
      </c>
      <c r="K924">
        <v>10</v>
      </c>
      <c r="L924">
        <v>145</v>
      </c>
      <c r="M924">
        <v>66</v>
      </c>
      <c r="N924">
        <v>58</v>
      </c>
    </row>
    <row r="925" spans="1:14">
      <c r="A925" s="13" t="s">
        <v>1578</v>
      </c>
      <c r="B925" s="14" t="s">
        <v>1579</v>
      </c>
      <c r="C925">
        <v>1</v>
      </c>
      <c r="D925">
        <v>2018</v>
      </c>
      <c r="E925">
        <v>11</v>
      </c>
      <c r="F925">
        <v>21</v>
      </c>
      <c r="G925">
        <v>6858</v>
      </c>
      <c r="H925">
        <v>0</v>
      </c>
      <c r="I925">
        <v>723043854</v>
      </c>
      <c r="J925">
        <v>31</v>
      </c>
      <c r="K925">
        <v>21</v>
      </c>
      <c r="L925">
        <v>130</v>
      </c>
      <c r="M925">
        <v>57</v>
      </c>
      <c r="N925">
        <v>37</v>
      </c>
    </row>
    <row r="926" spans="1:14">
      <c r="A926" s="11" t="s">
        <v>1580</v>
      </c>
      <c r="B926" s="12" t="s">
        <v>689</v>
      </c>
      <c r="C926">
        <v>1</v>
      </c>
      <c r="D926">
        <v>2022</v>
      </c>
      <c r="E926">
        <v>7</v>
      </c>
      <c r="F926">
        <v>14</v>
      </c>
      <c r="G926">
        <v>3682</v>
      </c>
      <c r="H926">
        <v>6</v>
      </c>
      <c r="I926">
        <v>247689123</v>
      </c>
      <c r="J926">
        <v>41</v>
      </c>
      <c r="K926">
        <v>0</v>
      </c>
      <c r="L926">
        <v>156</v>
      </c>
      <c r="M926">
        <v>72</v>
      </c>
      <c r="N926">
        <v>77</v>
      </c>
    </row>
    <row r="927" spans="1:14">
      <c r="A927" s="13" t="s">
        <v>1581</v>
      </c>
      <c r="B927" s="14" t="s">
        <v>289</v>
      </c>
      <c r="C927">
        <v>1</v>
      </c>
      <c r="D927">
        <v>2022</v>
      </c>
      <c r="E927">
        <v>9</v>
      </c>
      <c r="F927">
        <v>29</v>
      </c>
      <c r="G927">
        <v>1639</v>
      </c>
      <c r="H927">
        <v>0</v>
      </c>
      <c r="I927">
        <v>176474912</v>
      </c>
      <c r="J927">
        <v>86</v>
      </c>
      <c r="K927">
        <v>14</v>
      </c>
      <c r="L927">
        <v>123</v>
      </c>
      <c r="M927">
        <v>57</v>
      </c>
      <c r="N927">
        <v>85</v>
      </c>
    </row>
    <row r="928" spans="1:14">
      <c r="A928" s="11" t="s">
        <v>1582</v>
      </c>
      <c r="B928" s="12" t="s">
        <v>555</v>
      </c>
      <c r="C928">
        <v>1</v>
      </c>
      <c r="D928">
        <v>2022</v>
      </c>
      <c r="E928">
        <v>9</v>
      </c>
      <c r="F928">
        <v>16</v>
      </c>
      <c r="G928">
        <v>452</v>
      </c>
      <c r="H928">
        <v>10</v>
      </c>
      <c r="I928">
        <v>235549288</v>
      </c>
      <c r="J928">
        <v>2</v>
      </c>
      <c r="K928">
        <v>129</v>
      </c>
      <c r="L928">
        <v>132</v>
      </c>
      <c r="M928">
        <v>92</v>
      </c>
      <c r="N928">
        <v>62</v>
      </c>
    </row>
    <row r="929" spans="1:14">
      <c r="A929" s="13" t="s">
        <v>1583</v>
      </c>
      <c r="B929" s="14" t="s">
        <v>1584</v>
      </c>
      <c r="C929">
        <v>2</v>
      </c>
      <c r="D929">
        <v>2020</v>
      </c>
      <c r="E929">
        <v>12</v>
      </c>
      <c r="F929">
        <v>18</v>
      </c>
      <c r="G929">
        <v>668</v>
      </c>
      <c r="H929">
        <v>1</v>
      </c>
      <c r="I929">
        <v>140430339</v>
      </c>
      <c r="J929">
        <v>0</v>
      </c>
      <c r="K929">
        <v>0</v>
      </c>
      <c r="L929">
        <v>125</v>
      </c>
      <c r="M929">
        <v>49</v>
      </c>
      <c r="N929">
        <v>74</v>
      </c>
    </row>
    <row r="930" spans="1:14">
      <c r="A930" s="11" t="s">
        <v>1585</v>
      </c>
      <c r="B930" s="12" t="s">
        <v>1310</v>
      </c>
      <c r="C930">
        <v>1</v>
      </c>
      <c r="D930">
        <v>2022</v>
      </c>
      <c r="E930">
        <v>10</v>
      </c>
      <c r="F930">
        <v>14</v>
      </c>
      <c r="G930">
        <v>991</v>
      </c>
      <c r="H930">
        <v>0</v>
      </c>
      <c r="I930">
        <v>85559365</v>
      </c>
      <c r="J930">
        <v>36</v>
      </c>
      <c r="K930">
        <v>38</v>
      </c>
      <c r="L930">
        <v>162</v>
      </c>
      <c r="M930">
        <v>74</v>
      </c>
      <c r="N930">
        <v>67</v>
      </c>
    </row>
    <row r="931" spans="1:14">
      <c r="A931" s="13" t="s">
        <v>1586</v>
      </c>
      <c r="B931" s="14" t="s">
        <v>1587</v>
      </c>
      <c r="C931">
        <v>3</v>
      </c>
      <c r="D931">
        <v>2022</v>
      </c>
      <c r="E931">
        <v>9</v>
      </c>
      <c r="F931">
        <v>22</v>
      </c>
      <c r="G931">
        <v>869</v>
      </c>
      <c r="H931">
        <v>7</v>
      </c>
      <c r="I931">
        <v>146223492</v>
      </c>
      <c r="J931">
        <v>14</v>
      </c>
      <c r="K931">
        <v>12</v>
      </c>
      <c r="L931">
        <v>138</v>
      </c>
      <c r="M931">
        <v>80</v>
      </c>
      <c r="N931">
        <v>81</v>
      </c>
    </row>
    <row r="932" spans="1:14">
      <c r="A932" s="11" t="s">
        <v>1588</v>
      </c>
      <c r="B932" s="12" t="s">
        <v>1589</v>
      </c>
      <c r="C932">
        <v>3</v>
      </c>
      <c r="D932">
        <v>2022</v>
      </c>
      <c r="E932">
        <v>7</v>
      </c>
      <c r="F932">
        <v>1</v>
      </c>
      <c r="G932">
        <v>648</v>
      </c>
      <c r="H932">
        <v>4</v>
      </c>
      <c r="I932">
        <v>187701588</v>
      </c>
      <c r="J932">
        <v>0</v>
      </c>
      <c r="K932">
        <v>0</v>
      </c>
      <c r="L932">
        <v>161</v>
      </c>
      <c r="M932">
        <v>59</v>
      </c>
      <c r="N932">
        <v>60</v>
      </c>
    </row>
    <row r="933" spans="1:14">
      <c r="A933" s="13" t="s">
        <v>1590</v>
      </c>
      <c r="B933" s="14" t="s">
        <v>321</v>
      </c>
      <c r="C933">
        <v>2</v>
      </c>
      <c r="D933">
        <v>2022</v>
      </c>
      <c r="E933">
        <v>11</v>
      </c>
      <c r="F933">
        <v>4</v>
      </c>
      <c r="G933">
        <v>1545</v>
      </c>
      <c r="H933">
        <v>0</v>
      </c>
      <c r="I933">
        <v>154863153</v>
      </c>
      <c r="J933">
        <v>22</v>
      </c>
      <c r="K933">
        <v>7</v>
      </c>
      <c r="L933">
        <v>131</v>
      </c>
      <c r="M933">
        <v>91</v>
      </c>
      <c r="N933">
        <v>55</v>
      </c>
    </row>
    <row r="934" spans="1:14">
      <c r="A934" s="11" t="s">
        <v>1591</v>
      </c>
      <c r="B934" s="12" t="s">
        <v>1592</v>
      </c>
      <c r="C934">
        <v>3</v>
      </c>
      <c r="D934">
        <v>2022</v>
      </c>
      <c r="E934">
        <v>11</v>
      </c>
      <c r="F934">
        <v>4</v>
      </c>
      <c r="G934">
        <v>1930</v>
      </c>
      <c r="H934">
        <v>0</v>
      </c>
      <c r="I934">
        <v>191333656</v>
      </c>
      <c r="J934">
        <v>24</v>
      </c>
      <c r="K934">
        <v>8</v>
      </c>
      <c r="L934">
        <v>122</v>
      </c>
      <c r="M934">
        <v>75</v>
      </c>
      <c r="N934">
        <v>63</v>
      </c>
    </row>
    <row r="935" spans="1:14">
      <c r="A935" s="13" t="s">
        <v>1593</v>
      </c>
      <c r="B935" s="14" t="s">
        <v>39</v>
      </c>
      <c r="C935">
        <v>1</v>
      </c>
      <c r="D935">
        <v>2022</v>
      </c>
      <c r="E935">
        <v>10</v>
      </c>
      <c r="F935">
        <v>21</v>
      </c>
      <c r="G935">
        <v>1948</v>
      </c>
      <c r="H935">
        <v>0</v>
      </c>
      <c r="I935">
        <v>253650850</v>
      </c>
      <c r="J935">
        <v>12</v>
      </c>
      <c r="K935">
        <v>9</v>
      </c>
      <c r="L935">
        <v>80</v>
      </c>
      <c r="M935">
        <v>80</v>
      </c>
      <c r="N935">
        <v>28</v>
      </c>
    </row>
    <row r="936" spans="1:14">
      <c r="A936" s="11" t="s">
        <v>1594</v>
      </c>
      <c r="B936" s="12" t="s">
        <v>39</v>
      </c>
      <c r="C936">
        <v>1</v>
      </c>
      <c r="D936">
        <v>2022</v>
      </c>
      <c r="E936">
        <v>10</v>
      </c>
      <c r="F936">
        <v>21</v>
      </c>
      <c r="G936">
        <v>1608</v>
      </c>
      <c r="H936">
        <v>0</v>
      </c>
      <c r="I936">
        <v>223064273</v>
      </c>
      <c r="J936">
        <v>10</v>
      </c>
      <c r="K936">
        <v>3</v>
      </c>
      <c r="L936">
        <v>109</v>
      </c>
      <c r="M936">
        <v>75</v>
      </c>
      <c r="N936">
        <v>50</v>
      </c>
    </row>
    <row r="937" spans="1:14">
      <c r="A937" s="13" t="s">
        <v>1595</v>
      </c>
      <c r="B937" s="14" t="s">
        <v>321</v>
      </c>
      <c r="C937">
        <v>2</v>
      </c>
      <c r="D937">
        <v>2022</v>
      </c>
      <c r="E937">
        <v>11</v>
      </c>
      <c r="F937">
        <v>4</v>
      </c>
      <c r="G937">
        <v>1338</v>
      </c>
      <c r="H937">
        <v>0</v>
      </c>
      <c r="I937">
        <v>170413877</v>
      </c>
      <c r="J937">
        <v>9</v>
      </c>
      <c r="K937">
        <v>20</v>
      </c>
      <c r="L937">
        <v>158</v>
      </c>
      <c r="M937">
        <v>84</v>
      </c>
      <c r="N937">
        <v>36</v>
      </c>
    </row>
    <row r="938" spans="1:14">
      <c r="A938" s="11" t="s">
        <v>1596</v>
      </c>
      <c r="B938" s="12" t="s">
        <v>39</v>
      </c>
      <c r="C938">
        <v>1</v>
      </c>
      <c r="D938">
        <v>2022</v>
      </c>
      <c r="E938">
        <v>10</v>
      </c>
      <c r="F938">
        <v>21</v>
      </c>
      <c r="G938">
        <v>1936</v>
      </c>
      <c r="H938">
        <v>0</v>
      </c>
      <c r="I938">
        <v>218320587</v>
      </c>
      <c r="J938">
        <v>7</v>
      </c>
      <c r="K938">
        <v>5</v>
      </c>
      <c r="L938">
        <v>126</v>
      </c>
      <c r="M938">
        <v>66</v>
      </c>
      <c r="N938">
        <v>35</v>
      </c>
    </row>
    <row r="939" spans="1:14">
      <c r="A939" s="13" t="s">
        <v>1597</v>
      </c>
      <c r="B939" s="14" t="s">
        <v>321</v>
      </c>
      <c r="C939">
        <v>2</v>
      </c>
      <c r="D939">
        <v>2022</v>
      </c>
      <c r="E939">
        <v>11</v>
      </c>
      <c r="F939">
        <v>4</v>
      </c>
      <c r="G939">
        <v>1794</v>
      </c>
      <c r="H939">
        <v>0</v>
      </c>
      <c r="I939">
        <v>141720999</v>
      </c>
      <c r="J939">
        <v>26</v>
      </c>
      <c r="K939">
        <v>9</v>
      </c>
      <c r="L939">
        <v>104</v>
      </c>
      <c r="M939">
        <v>73</v>
      </c>
      <c r="N939">
        <v>61</v>
      </c>
    </row>
    <row r="940" spans="1:14">
      <c r="A940" s="11" t="s">
        <v>1598</v>
      </c>
      <c r="B940" s="12" t="s">
        <v>39</v>
      </c>
      <c r="C940">
        <v>1</v>
      </c>
      <c r="D940">
        <v>2022</v>
      </c>
      <c r="E940">
        <v>10</v>
      </c>
      <c r="F940">
        <v>21</v>
      </c>
      <c r="G940">
        <v>1597</v>
      </c>
      <c r="H940">
        <v>0</v>
      </c>
      <c r="I940">
        <v>187339835</v>
      </c>
      <c r="J940">
        <v>6</v>
      </c>
      <c r="K940">
        <v>3</v>
      </c>
      <c r="L940">
        <v>110</v>
      </c>
      <c r="M940">
        <v>48</v>
      </c>
      <c r="N940">
        <v>31</v>
      </c>
    </row>
    <row r="941" spans="1:14">
      <c r="A941" s="13" t="s">
        <v>1599</v>
      </c>
      <c r="B941" s="14" t="s">
        <v>321</v>
      </c>
      <c r="C941">
        <v>2</v>
      </c>
      <c r="D941">
        <v>2022</v>
      </c>
      <c r="E941">
        <v>11</v>
      </c>
      <c r="F941">
        <v>4</v>
      </c>
      <c r="G941">
        <v>1652</v>
      </c>
      <c r="H941">
        <v>2</v>
      </c>
      <c r="I941">
        <v>198365537</v>
      </c>
      <c r="J941">
        <v>26</v>
      </c>
      <c r="K941">
        <v>52</v>
      </c>
      <c r="L941">
        <v>130</v>
      </c>
      <c r="M941">
        <v>77</v>
      </c>
      <c r="N941">
        <v>70</v>
      </c>
    </row>
    <row r="942" spans="1:14">
      <c r="A942" s="11" t="s">
        <v>1600</v>
      </c>
      <c r="B942" s="12" t="s">
        <v>39</v>
      </c>
      <c r="C942">
        <v>1</v>
      </c>
      <c r="D942">
        <v>2022</v>
      </c>
      <c r="E942">
        <v>10</v>
      </c>
      <c r="F942">
        <v>21</v>
      </c>
      <c r="G942">
        <v>1747</v>
      </c>
      <c r="H942">
        <v>0</v>
      </c>
      <c r="I942">
        <v>186104310</v>
      </c>
      <c r="J942">
        <v>9</v>
      </c>
      <c r="K942">
        <v>6</v>
      </c>
      <c r="L942">
        <v>177</v>
      </c>
      <c r="M942">
        <v>34</v>
      </c>
      <c r="N942">
        <v>16</v>
      </c>
    </row>
    <row r="943" spans="1:14">
      <c r="A943" s="13" t="s">
        <v>1601</v>
      </c>
      <c r="B943" s="14" t="s">
        <v>39</v>
      </c>
      <c r="C943">
        <v>1</v>
      </c>
      <c r="D943">
        <v>2022</v>
      </c>
      <c r="E943">
        <v>10</v>
      </c>
      <c r="F943">
        <v>21</v>
      </c>
      <c r="G943">
        <v>1715</v>
      </c>
      <c r="H943">
        <v>0</v>
      </c>
      <c r="I943">
        <v>177503916</v>
      </c>
      <c r="J943">
        <v>4</v>
      </c>
      <c r="K943">
        <v>5</v>
      </c>
      <c r="L943">
        <v>158</v>
      </c>
      <c r="M943">
        <v>48</v>
      </c>
      <c r="N943">
        <v>84</v>
      </c>
    </row>
    <row r="944" spans="1:14">
      <c r="A944" s="11" t="s">
        <v>1602</v>
      </c>
      <c r="B944" s="12" t="s">
        <v>1603</v>
      </c>
      <c r="C944">
        <v>2</v>
      </c>
      <c r="D944">
        <v>2022</v>
      </c>
      <c r="E944">
        <v>11</v>
      </c>
      <c r="F944">
        <v>4</v>
      </c>
      <c r="G944">
        <v>486</v>
      </c>
      <c r="H944">
        <v>0</v>
      </c>
      <c r="I944">
        <v>71095708</v>
      </c>
      <c r="J944">
        <v>8</v>
      </c>
      <c r="K944">
        <v>1</v>
      </c>
      <c r="L944">
        <v>114</v>
      </c>
      <c r="M944">
        <v>62</v>
      </c>
      <c r="N944">
        <v>44</v>
      </c>
    </row>
    <row r="945" spans="1:14">
      <c r="A945" s="13" t="s">
        <v>1604</v>
      </c>
      <c r="B945" s="14" t="s">
        <v>321</v>
      </c>
      <c r="C945">
        <v>2</v>
      </c>
      <c r="D945">
        <v>2022</v>
      </c>
      <c r="E945">
        <v>11</v>
      </c>
      <c r="F945">
        <v>4</v>
      </c>
      <c r="G945">
        <v>1007</v>
      </c>
      <c r="H945">
        <v>0</v>
      </c>
      <c r="I945">
        <v>112436403</v>
      </c>
      <c r="J945">
        <v>6</v>
      </c>
      <c r="K945">
        <v>5</v>
      </c>
      <c r="L945">
        <v>144</v>
      </c>
      <c r="M945">
        <v>93</v>
      </c>
      <c r="N945">
        <v>61</v>
      </c>
    </row>
    <row r="946" spans="1:14">
      <c r="A946" s="11" t="s">
        <v>1605</v>
      </c>
      <c r="B946" s="12" t="s">
        <v>1606</v>
      </c>
      <c r="C946">
        <v>1</v>
      </c>
      <c r="D946">
        <v>2022</v>
      </c>
      <c r="E946">
        <v>10</v>
      </c>
      <c r="F946">
        <v>28</v>
      </c>
      <c r="G946">
        <v>481</v>
      </c>
      <c r="H946">
        <v>9</v>
      </c>
      <c r="I946">
        <v>203436468</v>
      </c>
      <c r="J946">
        <v>10</v>
      </c>
      <c r="K946">
        <v>100</v>
      </c>
      <c r="L946">
        <v>125</v>
      </c>
      <c r="M946">
        <v>54</v>
      </c>
      <c r="N946">
        <v>76</v>
      </c>
    </row>
    <row r="947" spans="1:14">
      <c r="A947" s="13" t="s">
        <v>1607</v>
      </c>
      <c r="B947" s="14" t="s">
        <v>458</v>
      </c>
      <c r="C947">
        <v>1</v>
      </c>
      <c r="D947">
        <v>2022</v>
      </c>
      <c r="E947">
        <v>11</v>
      </c>
      <c r="F947">
        <v>4</v>
      </c>
      <c r="G947">
        <v>1045</v>
      </c>
      <c r="H947">
        <v>0</v>
      </c>
      <c r="I947">
        <v>93367537</v>
      </c>
      <c r="J947">
        <v>8</v>
      </c>
      <c r="K947">
        <v>5</v>
      </c>
      <c r="L947">
        <v>142</v>
      </c>
      <c r="M947">
        <v>85</v>
      </c>
      <c r="N947">
        <v>43</v>
      </c>
    </row>
    <row r="948" spans="1:14">
      <c r="A948" s="11" t="s">
        <v>1608</v>
      </c>
      <c r="B948" s="12" t="s">
        <v>321</v>
      </c>
      <c r="C948">
        <v>2</v>
      </c>
      <c r="D948">
        <v>2022</v>
      </c>
      <c r="E948">
        <v>11</v>
      </c>
      <c r="F948">
        <v>4</v>
      </c>
      <c r="G948">
        <v>1060</v>
      </c>
      <c r="H948">
        <v>0</v>
      </c>
      <c r="I948">
        <v>106249219</v>
      </c>
      <c r="J948">
        <v>3</v>
      </c>
      <c r="K948">
        <v>8</v>
      </c>
      <c r="L948">
        <v>120</v>
      </c>
      <c r="M948">
        <v>64</v>
      </c>
      <c r="N948">
        <v>53</v>
      </c>
    </row>
    <row r="949" spans="1:14">
      <c r="A949" s="13" t="s">
        <v>1609</v>
      </c>
      <c r="B949" s="14" t="s">
        <v>39</v>
      </c>
      <c r="C949">
        <v>1</v>
      </c>
      <c r="D949">
        <v>2022</v>
      </c>
      <c r="E949">
        <v>10</v>
      </c>
      <c r="F949">
        <v>21</v>
      </c>
      <c r="G949">
        <v>1274</v>
      </c>
      <c r="H949">
        <v>0</v>
      </c>
      <c r="I949">
        <v>181382590</v>
      </c>
      <c r="J949">
        <v>1</v>
      </c>
      <c r="K949">
        <v>6</v>
      </c>
      <c r="L949">
        <v>96</v>
      </c>
      <c r="M949">
        <v>57</v>
      </c>
      <c r="N949">
        <v>74</v>
      </c>
    </row>
    <row r="950" spans="1:14">
      <c r="A950" s="11" t="s">
        <v>1610</v>
      </c>
      <c r="B950" s="12" t="s">
        <v>1611</v>
      </c>
      <c r="C950">
        <v>1</v>
      </c>
      <c r="D950">
        <v>2022</v>
      </c>
      <c r="E950">
        <v>11</v>
      </c>
      <c r="F950">
        <v>3</v>
      </c>
      <c r="G950">
        <v>953</v>
      </c>
      <c r="H950">
        <v>0</v>
      </c>
      <c r="I950">
        <v>91473363</v>
      </c>
      <c r="J950">
        <v>61</v>
      </c>
      <c r="K950">
        <v>13</v>
      </c>
      <c r="L950">
        <v>144</v>
      </c>
      <c r="M950">
        <v>60</v>
      </c>
      <c r="N950">
        <v>39</v>
      </c>
    </row>
    <row r="951" spans="1:14">
      <c r="A951" s="13" t="s">
        <v>1612</v>
      </c>
      <c r="B951" s="14" t="s">
        <v>39</v>
      </c>
      <c r="C951">
        <v>1</v>
      </c>
      <c r="D951">
        <v>2022</v>
      </c>
      <c r="E951">
        <v>10</v>
      </c>
      <c r="F951">
        <v>21</v>
      </c>
      <c r="G951">
        <v>1180</v>
      </c>
      <c r="H951">
        <v>0</v>
      </c>
      <c r="I951">
        <v>121871870</v>
      </c>
      <c r="J951">
        <v>4</v>
      </c>
      <c r="K951">
        <v>0</v>
      </c>
      <c r="L951">
        <v>166</v>
      </c>
      <c r="M951">
        <v>42</v>
      </c>
      <c r="N951">
        <v>24</v>
      </c>
    </row>
    <row r="952" spans="1:14">
      <c r="A952" s="11" t="s">
        <v>1613</v>
      </c>
      <c r="B952" s="12" t="s">
        <v>1614</v>
      </c>
      <c r="C952">
        <v>2</v>
      </c>
      <c r="D952">
        <v>2022</v>
      </c>
      <c r="E952">
        <v>11</v>
      </c>
      <c r="F952">
        <v>3</v>
      </c>
      <c r="G952">
        <v>573</v>
      </c>
      <c r="H952">
        <v>0</v>
      </c>
      <c r="I952">
        <v>73513683</v>
      </c>
      <c r="J952">
        <v>2</v>
      </c>
      <c r="K952">
        <v>0</v>
      </c>
      <c r="L952">
        <v>92</v>
      </c>
      <c r="M952">
        <v>80</v>
      </c>
      <c r="N952">
        <v>67</v>
      </c>
    </row>
    <row r="953" spans="1:14">
      <c r="A953" s="13" t="s">
        <v>1615</v>
      </c>
      <c r="B953" s="14" t="s">
        <v>1616</v>
      </c>
      <c r="C953">
        <v>3</v>
      </c>
      <c r="D953">
        <v>2022</v>
      </c>
      <c r="E953">
        <v>10</v>
      </c>
      <c r="F953">
        <v>20</v>
      </c>
      <c r="G953">
        <v>1320</v>
      </c>
      <c r="H953">
        <v>0</v>
      </c>
      <c r="I953">
        <v>133895612</v>
      </c>
      <c r="J953">
        <v>29</v>
      </c>
      <c r="K953">
        <v>26</v>
      </c>
      <c r="L953">
        <v>97</v>
      </c>
      <c r="M953">
        <v>82</v>
      </c>
      <c r="N953">
        <v>77</v>
      </c>
    </row>
    <row r="954" spans="1:14">
      <c r="A954" s="11" t="s">
        <v>1617</v>
      </c>
      <c r="B954" s="12" t="s">
        <v>1501</v>
      </c>
      <c r="C954">
        <v>1</v>
      </c>
      <c r="D954">
        <v>2022</v>
      </c>
      <c r="E954">
        <v>11</v>
      </c>
      <c r="F954">
        <v>4</v>
      </c>
      <c r="G954">
        <v>782</v>
      </c>
      <c r="H954">
        <v>2</v>
      </c>
      <c r="I954">
        <v>96007391</v>
      </c>
      <c r="J954">
        <v>27</v>
      </c>
      <c r="K954">
        <v>18</v>
      </c>
      <c r="L954">
        <v>90</v>
      </c>
      <c r="M954">
        <v>61</v>
      </c>
      <c r="N954">
        <v>67</v>
      </c>
    </row>
    <row r="955" spans="1:14">
      <c r="A955" t="s">
        <v>1617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7B5A-6625-4B61-AB74-EDCC3D96204E}">
  <dimension ref="A1"/>
  <sheetViews>
    <sheetView workbookViewId="0">
      <selection activeCell="A7" sqref="A7"/>
    </sheetView>
  </sheetViews>
  <sheetFormatPr defaultRowHeight="14.45"/>
  <cols>
    <col min="1" max="1" width="17" bestFit="1" customWidth="1"/>
    <col min="2" max="2" width="18.57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2026-02-19T19:34:39Z</dcterms:created>
  <dcterms:modified xsi:type="dcterms:W3CDTF">2026-02-27T11:24:45Z</dcterms:modified>
  <cp:category/>
  <cp:contentStatus/>
</cp:coreProperties>
</file>